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dd9bdc0d29c1f/Desktop/"/>
    </mc:Choice>
  </mc:AlternateContent>
  <xr:revisionPtr revIDLastSave="147" documentId="13_ncr:1_{5EC0C4F9-4643-492E-BDD8-FACB104EC1D1}" xr6:coauthVersionLast="47" xr6:coauthVersionMax="47" xr10:uidLastSave="{E9292E00-C56A-4A1E-A505-8CCCCF6E4CD9}"/>
  <bookViews>
    <workbookView xWindow="-108" yWindow="-108" windowWidth="23256" windowHeight="12456" tabRatio="751" activeTab="1" xr2:uid="{43B2F4F9-77DC-4604-8AAE-E56DB9833701}"/>
  </bookViews>
  <sheets>
    <sheet name="Summary" sheetId="12" r:id="rId1"/>
    <sheet name="DCF" sheetId="1" r:id="rId2"/>
    <sheet name="WACC" sheetId="2" r:id="rId3"/>
    <sheet name="Historical fin satements" sheetId="11" r:id="rId4"/>
    <sheet name="Data sheet" sheetId="6" r:id="rId5"/>
    <sheet name="Raw BS" sheetId="7" r:id="rId6"/>
    <sheet name="Raw cashflow" sheetId="10" r:id="rId7"/>
  </sheets>
  <definedNames>
    <definedName name="Cost_of_debt">WACC!$C$17</definedName>
    <definedName name="Cost_of_equity">WACC!$C$10</definedName>
    <definedName name="Debt_weight">WACC!$C$26</definedName>
    <definedName name="Equity_Risk_Premium">WACC!$C$8</definedName>
    <definedName name="Equity_weight">WACC!$C$25</definedName>
    <definedName name="Levered_Beta">WACC!$C$9</definedName>
    <definedName name="pretax_cost_of_debt">WACC!$C$15</definedName>
    <definedName name="Risk_Free_Rate">WACC!$C$7</definedName>
    <definedName name="spread">WACC!$D$15</definedName>
    <definedName name="tax_rate">WACC!$C$16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41" i="1"/>
  <c r="B26" i="1"/>
  <c r="C10" i="2" l="1"/>
  <c r="B13" i="11"/>
  <c r="C29" i="6"/>
  <c r="H15" i="11"/>
  <c r="C15" i="2" l="1"/>
  <c r="C17" i="2"/>
  <c r="C57" i="11" l="1"/>
  <c r="D57" i="11"/>
  <c r="E57" i="11"/>
  <c r="F57" i="11"/>
  <c r="G57" i="11"/>
  <c r="H57" i="11"/>
  <c r="I57" i="11"/>
  <c r="J57" i="11"/>
  <c r="K57" i="11"/>
  <c r="B57" i="11"/>
  <c r="C55" i="11"/>
  <c r="D55" i="11"/>
  <c r="D59" i="11" s="1"/>
  <c r="E55" i="11"/>
  <c r="F55" i="11"/>
  <c r="F59" i="11" s="1"/>
  <c r="G55" i="11"/>
  <c r="G59" i="11" s="1"/>
  <c r="H55" i="11"/>
  <c r="I55" i="11"/>
  <c r="J55" i="11"/>
  <c r="K55" i="11"/>
  <c r="B55" i="11"/>
  <c r="C53" i="11"/>
  <c r="D53" i="11"/>
  <c r="E53" i="11"/>
  <c r="F53" i="11"/>
  <c r="G53" i="11"/>
  <c r="H53" i="11"/>
  <c r="I53" i="11"/>
  <c r="I59" i="11" s="1"/>
  <c r="J53" i="11"/>
  <c r="J59" i="11" s="1"/>
  <c r="K53" i="11"/>
  <c r="K59" i="11" s="1"/>
  <c r="B53" i="11"/>
  <c r="B59" i="11" s="1"/>
  <c r="C38" i="11"/>
  <c r="D38" i="11"/>
  <c r="E38" i="11"/>
  <c r="F38" i="11"/>
  <c r="G38" i="11"/>
  <c r="H38" i="11"/>
  <c r="I38" i="11"/>
  <c r="J38" i="11"/>
  <c r="K38" i="11"/>
  <c r="B38" i="11"/>
  <c r="C41" i="11"/>
  <c r="D41" i="11"/>
  <c r="D44" i="11" s="1"/>
  <c r="E41" i="11"/>
  <c r="F41" i="11"/>
  <c r="G41" i="11"/>
  <c r="H41" i="11"/>
  <c r="I41" i="11"/>
  <c r="J41" i="11"/>
  <c r="K41" i="11"/>
  <c r="C42" i="11"/>
  <c r="D42" i="11"/>
  <c r="E42" i="11"/>
  <c r="F42" i="11"/>
  <c r="G42" i="11"/>
  <c r="H42" i="11"/>
  <c r="I42" i="11"/>
  <c r="J42" i="11"/>
  <c r="K42" i="11"/>
  <c r="C43" i="11"/>
  <c r="C44" i="11" s="1"/>
  <c r="D43" i="11"/>
  <c r="E43" i="11"/>
  <c r="F43" i="11"/>
  <c r="G43" i="11"/>
  <c r="H43" i="11"/>
  <c r="I43" i="11"/>
  <c r="J43" i="11"/>
  <c r="K43" i="11"/>
  <c r="B42" i="11"/>
  <c r="B43" i="11"/>
  <c r="B41" i="11"/>
  <c r="B44" i="11" s="1"/>
  <c r="C35" i="11"/>
  <c r="D35" i="11"/>
  <c r="E35" i="11"/>
  <c r="F35" i="11"/>
  <c r="G35" i="11"/>
  <c r="H35" i="11"/>
  <c r="I35" i="11"/>
  <c r="J35" i="11"/>
  <c r="K35" i="11"/>
  <c r="K39" i="11" s="1"/>
  <c r="C36" i="11"/>
  <c r="D36" i="11"/>
  <c r="E36" i="11"/>
  <c r="F36" i="11"/>
  <c r="G36" i="11"/>
  <c r="H36" i="11"/>
  <c r="I36" i="11"/>
  <c r="J36" i="11"/>
  <c r="K36" i="11"/>
  <c r="C37" i="11"/>
  <c r="D37" i="11"/>
  <c r="E37" i="11"/>
  <c r="F37" i="11"/>
  <c r="G37" i="11"/>
  <c r="H37" i="11"/>
  <c r="I37" i="11"/>
  <c r="J37" i="11"/>
  <c r="K37" i="11"/>
  <c r="B36" i="11"/>
  <c r="B37" i="11"/>
  <c r="B35" i="11"/>
  <c r="C33" i="11"/>
  <c r="D33" i="11"/>
  <c r="E33" i="11"/>
  <c r="F33" i="11"/>
  <c r="G33" i="11"/>
  <c r="H33" i="11"/>
  <c r="I33" i="11"/>
  <c r="J33" i="11"/>
  <c r="K33" i="11"/>
  <c r="B33" i="11"/>
  <c r="B32" i="11"/>
  <c r="C32" i="11"/>
  <c r="D32" i="11"/>
  <c r="E32" i="11"/>
  <c r="F32" i="11"/>
  <c r="G32" i="11"/>
  <c r="H32" i="11"/>
  <c r="I32" i="11"/>
  <c r="J32" i="11"/>
  <c r="K32" i="11"/>
  <c r="B30" i="11"/>
  <c r="C30" i="11"/>
  <c r="D30" i="11"/>
  <c r="E30" i="11"/>
  <c r="F30" i="11"/>
  <c r="G30" i="11"/>
  <c r="H30" i="11"/>
  <c r="I30" i="11"/>
  <c r="J30" i="11"/>
  <c r="K30" i="11"/>
  <c r="B31" i="11"/>
  <c r="C31" i="11"/>
  <c r="D31" i="11"/>
  <c r="E31" i="11"/>
  <c r="F31" i="11"/>
  <c r="G31" i="11"/>
  <c r="H31" i="11"/>
  <c r="I31" i="11"/>
  <c r="J31" i="11"/>
  <c r="K31" i="11"/>
  <c r="C29" i="11"/>
  <c r="D29" i="11"/>
  <c r="E29" i="11"/>
  <c r="F29" i="11"/>
  <c r="G29" i="11"/>
  <c r="H29" i="11"/>
  <c r="I29" i="11"/>
  <c r="J29" i="11"/>
  <c r="K29" i="11"/>
  <c r="B29" i="11"/>
  <c r="K48" i="6"/>
  <c r="J48" i="6"/>
  <c r="I48" i="6"/>
  <c r="H48" i="6"/>
  <c r="G48" i="6"/>
  <c r="F48" i="6"/>
  <c r="E48" i="6"/>
  <c r="D48" i="6"/>
  <c r="C48" i="6"/>
  <c r="B48" i="6"/>
  <c r="K31" i="6"/>
  <c r="J31" i="6"/>
  <c r="I31" i="6"/>
  <c r="H31" i="6"/>
  <c r="G31" i="6"/>
  <c r="F31" i="6"/>
  <c r="E31" i="6"/>
  <c r="D31" i="6"/>
  <c r="C31" i="6"/>
  <c r="B31" i="6"/>
  <c r="K29" i="6"/>
  <c r="J29" i="6"/>
  <c r="I29" i="6"/>
  <c r="H29" i="6"/>
  <c r="G29" i="6"/>
  <c r="F29" i="6"/>
  <c r="E29" i="6"/>
  <c r="D29" i="6"/>
  <c r="B29" i="6"/>
  <c r="C39" i="11" l="1"/>
  <c r="B39" i="11"/>
  <c r="F44" i="11"/>
  <c r="E39" i="11"/>
  <c r="J39" i="11"/>
  <c r="E44" i="11"/>
  <c r="D39" i="11"/>
  <c r="D46" i="11" s="1"/>
  <c r="D48" i="11" s="1"/>
  <c r="B46" i="11"/>
  <c r="B48" i="11" s="1"/>
  <c r="I44" i="11"/>
  <c r="H44" i="11"/>
  <c r="G44" i="11"/>
  <c r="G46" i="11" s="1"/>
  <c r="G48" i="11" s="1"/>
  <c r="H39" i="11"/>
  <c r="J44" i="11"/>
  <c r="J46" i="11" s="1"/>
  <c r="J48" i="11" s="1"/>
  <c r="I39" i="11"/>
  <c r="I46" i="11" s="1"/>
  <c r="I48" i="11" s="1"/>
  <c r="F39" i="11"/>
  <c r="F46" i="11" s="1"/>
  <c r="F48" i="11" s="1"/>
  <c r="K44" i="11"/>
  <c r="K46" i="11" s="1"/>
  <c r="K48" i="11" s="1"/>
  <c r="G39" i="11"/>
  <c r="C59" i="11"/>
  <c r="E59" i="11"/>
  <c r="H59" i="11"/>
  <c r="C46" i="11"/>
  <c r="C48" i="11" s="1"/>
  <c r="E46" i="11"/>
  <c r="E48" i="11" s="1"/>
  <c r="H46" i="11" l="1"/>
  <c r="H48" i="11" s="1"/>
  <c r="C5" i="11" l="1"/>
  <c r="L5" i="1"/>
  <c r="M5" i="1"/>
  <c r="N5" i="1"/>
  <c r="O5" i="1"/>
  <c r="P5" i="1"/>
  <c r="Q5" i="1"/>
  <c r="R5" i="1"/>
  <c r="S5" i="1"/>
  <c r="K5" i="1"/>
  <c r="B15" i="11"/>
  <c r="C23" i="11"/>
  <c r="D23" i="11"/>
  <c r="E23" i="11"/>
  <c r="F23" i="11"/>
  <c r="G23" i="11"/>
  <c r="H23" i="11"/>
  <c r="I23" i="11"/>
  <c r="J23" i="11"/>
  <c r="K23" i="11"/>
  <c r="B23" i="11"/>
  <c r="C19" i="11"/>
  <c r="C20" i="11" s="1"/>
  <c r="D19" i="11"/>
  <c r="D20" i="11" s="1"/>
  <c r="E19" i="11"/>
  <c r="E20" i="11" s="1"/>
  <c r="F19" i="11"/>
  <c r="F20" i="11" s="1"/>
  <c r="G19" i="11"/>
  <c r="G20" i="11" s="1"/>
  <c r="H19" i="11"/>
  <c r="H20" i="11" s="1"/>
  <c r="I19" i="11"/>
  <c r="I20" i="11" s="1"/>
  <c r="J19" i="11"/>
  <c r="J20" i="11" s="1"/>
  <c r="K19" i="11"/>
  <c r="K20" i="11" s="1"/>
  <c r="B19" i="11"/>
  <c r="B20" i="11" s="1"/>
  <c r="C18" i="11"/>
  <c r="D18" i="11"/>
  <c r="E18" i="11"/>
  <c r="F18" i="11"/>
  <c r="G18" i="11"/>
  <c r="H18" i="11"/>
  <c r="I18" i="11"/>
  <c r="J18" i="11"/>
  <c r="K18" i="11"/>
  <c r="B18" i="11"/>
  <c r="J10" i="11"/>
  <c r="C14" i="11"/>
  <c r="C15" i="11" s="1"/>
  <c r="D14" i="11"/>
  <c r="D15" i="11" s="1"/>
  <c r="E14" i="11"/>
  <c r="E15" i="11" s="1"/>
  <c r="F14" i="11"/>
  <c r="F15" i="11" s="1"/>
  <c r="G14" i="11"/>
  <c r="G15" i="11" s="1"/>
  <c r="H14" i="11"/>
  <c r="I14" i="11"/>
  <c r="I15" i="11" s="1"/>
  <c r="J14" i="11"/>
  <c r="J15" i="11" s="1"/>
  <c r="K14" i="11"/>
  <c r="B9" i="1" s="1"/>
  <c r="B13" i="1" s="1"/>
  <c r="B14" i="11"/>
  <c r="C10" i="11"/>
  <c r="C11" i="11" s="1"/>
  <c r="D10" i="11"/>
  <c r="D11" i="11" s="1"/>
  <c r="E10" i="11"/>
  <c r="E11" i="11" s="1"/>
  <c r="F10" i="11"/>
  <c r="F11" i="11" s="1"/>
  <c r="G10" i="11"/>
  <c r="G11" i="11" s="1"/>
  <c r="H10" i="11"/>
  <c r="H11" i="11" s="1"/>
  <c r="I10" i="11"/>
  <c r="I11" i="11" s="1"/>
  <c r="K10" i="11"/>
  <c r="K11" i="11" s="1"/>
  <c r="B10" i="11"/>
  <c r="B11" i="11" s="1"/>
  <c r="C6" i="11"/>
  <c r="C8" i="11" s="1"/>
  <c r="C9" i="11" s="1"/>
  <c r="D6" i="11"/>
  <c r="D8" i="11" s="1"/>
  <c r="D9" i="11" s="1"/>
  <c r="E6" i="11"/>
  <c r="E8" i="11" s="1"/>
  <c r="E9" i="11" s="1"/>
  <c r="F6" i="11"/>
  <c r="F7" i="11" s="1"/>
  <c r="G6" i="11"/>
  <c r="G8" i="11" s="1"/>
  <c r="G9" i="11" s="1"/>
  <c r="H6" i="11"/>
  <c r="H8" i="11" s="1"/>
  <c r="H9" i="11" s="1"/>
  <c r="I6" i="11"/>
  <c r="I7" i="11" s="1"/>
  <c r="J6" i="11"/>
  <c r="J7" i="11" s="1"/>
  <c r="K6" i="11"/>
  <c r="K7" i="11" s="1"/>
  <c r="B6" i="11"/>
  <c r="B7" i="11" s="1"/>
  <c r="J6" i="1"/>
  <c r="D5" i="1"/>
  <c r="E5" i="1" s="1"/>
  <c r="F5" i="1" s="1"/>
  <c r="G5" i="1" s="1"/>
  <c r="J8" i="1" l="1"/>
  <c r="T4" i="1" s="1"/>
  <c r="U4" i="1" s="1"/>
  <c r="K15" i="11"/>
  <c r="D12" i="11"/>
  <c r="C12" i="11"/>
  <c r="J11" i="11"/>
  <c r="E12" i="11"/>
  <c r="G12" i="11"/>
  <c r="H12" i="11"/>
  <c r="H7" i="11"/>
  <c r="E7" i="11"/>
  <c r="G7" i="11"/>
  <c r="D7" i="11"/>
  <c r="C7" i="11"/>
  <c r="K8" i="11"/>
  <c r="I8" i="11"/>
  <c r="F8" i="11"/>
  <c r="F12" i="11" s="1"/>
  <c r="J8" i="11"/>
  <c r="J12" i="11" s="1"/>
  <c r="B8" i="11"/>
  <c r="S18" i="1"/>
  <c r="S19" i="1" l="1"/>
  <c r="B15" i="1"/>
  <c r="V4" i="1"/>
  <c r="D13" i="11"/>
  <c r="D16" i="11"/>
  <c r="J13" i="11"/>
  <c r="J16" i="11"/>
  <c r="F16" i="11"/>
  <c r="F13" i="11"/>
  <c r="H16" i="11"/>
  <c r="H13" i="11"/>
  <c r="G16" i="11"/>
  <c r="G13" i="11"/>
  <c r="E16" i="11"/>
  <c r="E13" i="11"/>
  <c r="C13" i="11"/>
  <c r="C16" i="11"/>
  <c r="B9" i="11"/>
  <c r="B12" i="11"/>
  <c r="J9" i="11"/>
  <c r="F9" i="11"/>
  <c r="I9" i="11"/>
  <c r="I12" i="11"/>
  <c r="K9" i="11"/>
  <c r="K12" i="11"/>
  <c r="B8" i="1" s="1"/>
  <c r="B10" i="1" s="1"/>
  <c r="K18" i="1"/>
  <c r="K19" i="1" s="1"/>
  <c r="L18" i="1"/>
  <c r="L19" i="1" s="1"/>
  <c r="M18" i="1"/>
  <c r="M19" i="1" s="1"/>
  <c r="N18" i="1"/>
  <c r="N19" i="1" s="1"/>
  <c r="O18" i="1"/>
  <c r="O19" i="1" s="1"/>
  <c r="P18" i="1"/>
  <c r="P19" i="1" s="1"/>
  <c r="Q18" i="1"/>
  <c r="Q19" i="1" s="1"/>
  <c r="R18" i="1"/>
  <c r="R19" i="1" s="1"/>
  <c r="J18" i="1"/>
  <c r="J19" i="1" s="1"/>
  <c r="B35" i="6"/>
  <c r="J20" i="1" l="1"/>
  <c r="W4" i="1"/>
  <c r="H17" i="11"/>
  <c r="H21" i="11"/>
  <c r="C17" i="11"/>
  <c r="C21" i="11"/>
  <c r="E17" i="11"/>
  <c r="E21" i="11"/>
  <c r="G17" i="11"/>
  <c r="G21" i="11"/>
  <c r="F17" i="11"/>
  <c r="F21" i="11"/>
  <c r="J17" i="11"/>
  <c r="J21" i="11"/>
  <c r="D17" i="11"/>
  <c r="D21" i="11"/>
  <c r="B16" i="11"/>
  <c r="K13" i="11"/>
  <c r="K16" i="11"/>
  <c r="I16" i="11"/>
  <c r="I13" i="11"/>
  <c r="B35" i="1"/>
  <c r="B34" i="1"/>
  <c r="L12" i="1"/>
  <c r="K6" i="1"/>
  <c r="J12" i="1"/>
  <c r="K12" i="1"/>
  <c r="M12" i="1"/>
  <c r="N12" i="1"/>
  <c r="O12" i="1"/>
  <c r="P12" i="1"/>
  <c r="Q12" i="1"/>
  <c r="R12" i="1"/>
  <c r="S12" i="1"/>
  <c r="L6" i="1"/>
  <c r="M6" i="1"/>
  <c r="N6" i="1"/>
  <c r="O6" i="1"/>
  <c r="P6" i="1"/>
  <c r="Q6" i="1"/>
  <c r="R6" i="1"/>
  <c r="S6" i="1"/>
  <c r="J13" i="1" l="1"/>
  <c r="X4" i="1"/>
  <c r="J22" i="11"/>
  <c r="J24" i="11"/>
  <c r="J25" i="11" s="1"/>
  <c r="G22" i="11"/>
  <c r="G24" i="11"/>
  <c r="G25" i="11" s="1"/>
  <c r="C22" i="11"/>
  <c r="C24" i="11"/>
  <c r="C25" i="11" s="1"/>
  <c r="H22" i="11"/>
  <c r="H24" i="11"/>
  <c r="H25" i="11" s="1"/>
  <c r="D22" i="11"/>
  <c r="D24" i="11"/>
  <c r="D25" i="11" s="1"/>
  <c r="F22" i="11"/>
  <c r="F24" i="11"/>
  <c r="F25" i="11" s="1"/>
  <c r="E22" i="11"/>
  <c r="E24" i="11"/>
  <c r="E25" i="11" s="1"/>
  <c r="B17" i="11"/>
  <c r="B21" i="11"/>
  <c r="I17" i="11"/>
  <c r="I21" i="11"/>
  <c r="K17" i="11"/>
  <c r="K21" i="11"/>
  <c r="J7" i="1"/>
  <c r="T3" i="1" l="1"/>
  <c r="C9" i="1" s="1"/>
  <c r="C13" i="1" s="1"/>
  <c r="U3" i="1"/>
  <c r="D9" i="1" s="1"/>
  <c r="V3" i="1"/>
  <c r="E9" i="1" s="1"/>
  <c r="W3" i="1"/>
  <c r="F9" i="1" s="1"/>
  <c r="X3" i="1"/>
  <c r="G9" i="1" s="1"/>
  <c r="I22" i="11"/>
  <c r="I24" i="11"/>
  <c r="I25" i="11" s="1"/>
  <c r="B22" i="11"/>
  <c r="B24" i="11"/>
  <c r="B25" i="11" s="1"/>
  <c r="K22" i="11"/>
  <c r="K24" i="11"/>
  <c r="K25" i="11" s="1"/>
  <c r="B7" i="1"/>
  <c r="C7" i="1" s="1"/>
  <c r="D5" i="11"/>
  <c r="E5" i="11"/>
  <c r="F5" i="11"/>
  <c r="G5" i="11"/>
  <c r="H5" i="11"/>
  <c r="I5" i="11"/>
  <c r="J5" i="11"/>
  <c r="K5" i="11"/>
  <c r="C8" i="1" l="1"/>
  <c r="C10" i="1" s="1"/>
  <c r="C11" i="1" s="1"/>
  <c r="B11" i="1"/>
  <c r="B12" i="1" s="1"/>
  <c r="B14" i="1" s="1"/>
  <c r="D7" i="1"/>
  <c r="D8" i="1" s="1"/>
  <c r="C21" i="2"/>
  <c r="C23" i="2" s="1"/>
  <c r="C26" i="2" s="1"/>
  <c r="M29" i="7"/>
  <c r="L29" i="7"/>
  <c r="K29" i="7"/>
  <c r="J29" i="7"/>
  <c r="I29" i="7"/>
  <c r="H29" i="7"/>
  <c r="G29" i="7"/>
  <c r="F29" i="7"/>
  <c r="E29" i="7"/>
  <c r="D29" i="7"/>
  <c r="C29" i="7"/>
  <c r="B29" i="7"/>
  <c r="B6" i="6"/>
  <c r="B38" i="1" s="1"/>
  <c r="E1" i="6"/>
  <c r="D13" i="1" l="1"/>
  <c r="D10" i="1"/>
  <c r="C25" i="2"/>
  <c r="C29" i="2" s="1"/>
  <c r="B22" i="1" s="1"/>
  <c r="B17" i="1"/>
  <c r="E7" i="1"/>
  <c r="B27" i="1" l="1"/>
  <c r="I27" i="1" s="1"/>
  <c r="D18" i="1"/>
  <c r="G18" i="1"/>
  <c r="E18" i="1"/>
  <c r="C18" i="1"/>
  <c r="F18" i="1"/>
  <c r="E13" i="1"/>
  <c r="E8" i="1"/>
  <c r="E10" i="1" s="1"/>
  <c r="D11" i="1"/>
  <c r="D12" i="1" s="1"/>
  <c r="F7" i="1"/>
  <c r="F13" i="1" l="1"/>
  <c r="F8" i="1"/>
  <c r="F10" i="1" s="1"/>
  <c r="C12" i="1"/>
  <c r="C14" i="1" s="1"/>
  <c r="G7" i="1"/>
  <c r="D14" i="1"/>
  <c r="C15" i="1" l="1"/>
  <c r="C17" i="1"/>
  <c r="C19" i="1" s="1"/>
  <c r="D15" i="1"/>
  <c r="D17" i="1" s="1"/>
  <c r="D19" i="1" s="1"/>
  <c r="G8" i="1"/>
  <c r="G13" i="1"/>
  <c r="F11" i="1"/>
  <c r="F12" i="1" s="1"/>
  <c r="E11" i="1"/>
  <c r="E12" i="1" l="1"/>
  <c r="E14" i="1" s="1"/>
  <c r="G10" i="1"/>
  <c r="F14" i="1"/>
  <c r="F15" i="1" l="1"/>
  <c r="F17" i="1" s="1"/>
  <c r="F19" i="1" s="1"/>
  <c r="E15" i="1"/>
  <c r="E17" i="1" s="1"/>
  <c r="E19" i="1" s="1"/>
  <c r="G11" i="1"/>
  <c r="G12" i="1" l="1"/>
  <c r="G14" i="1" s="1"/>
  <c r="G15" i="1" l="1"/>
  <c r="G17" i="1" s="1"/>
  <c r="G19" i="1" l="1"/>
  <c r="B20" i="1" s="1"/>
  <c r="B29" i="1" l="1"/>
  <c r="B33" i="1" s="1"/>
  <c r="B36" i="1" l="1"/>
  <c r="B39" i="1" l="1"/>
  <c r="B42" i="1" s="1"/>
</calcChain>
</file>

<file path=xl/sharedStrings.xml><?xml version="1.0" encoding="utf-8"?>
<sst xmlns="http://schemas.openxmlformats.org/spreadsheetml/2006/main" count="284" uniqueCount="224">
  <si>
    <t>EBIT</t>
  </si>
  <si>
    <t>Depreciation</t>
  </si>
  <si>
    <t>Tax Rate</t>
  </si>
  <si>
    <t>Free Cash Flow</t>
  </si>
  <si>
    <t>COMPANY NAME</t>
  </si>
  <si>
    <t>AVENUE SUPERMARTS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</si>
  <si>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</si>
  <si>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</si>
  <si>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</si>
  <si>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</si>
  <si>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</si>
  <si>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</si>
  <si>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</si>
  <si>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</si>
  <si>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</si>
  <si>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</si>
  <si>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</si>
  <si>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</si>
  <si>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</si>
  <si>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</si>
  <si>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</si>
  <si>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</si>
  <si>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</si>
  <si>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</si>
  <si>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</si>
  <si>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</si>
  <si>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</si>
  <si>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</si>
  <si>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</si>
  <si>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</si>
  <si>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</si>
  <si>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</si>
  <si>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EPS</t>
  </si>
  <si>
    <t>Reserves</t>
  </si>
  <si>
    <t>Net Block</t>
  </si>
  <si>
    <t>Investments</t>
  </si>
  <si>
    <t>Receivables</t>
  </si>
  <si>
    <t>Inventory</t>
  </si>
  <si>
    <t>Net Cash Flow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</si>
  <si>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</si>
  <si>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</si>
  <si>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</si>
  <si>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</si>
  <si>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</si>
  <si>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</si>
  <si>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</si>
  <si>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</si>
  <si>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</si>
  <si>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</si>
  <si>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</si>
  <si>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</si>
  <si>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</si>
  <si>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</si>
  <si>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</si>
  <si>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</si>
  <si>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</si>
  <si>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</si>
  <si>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</si>
  <si>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</si>
  <si>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</si>
  <si>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</si>
  <si>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</si>
  <si>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</si>
  <si>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</si>
  <si>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</si>
  <si>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</si>
  <si>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</si>
  <si>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</si>
  <si>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</si>
  <si>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</si>
  <si>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</si>
  <si>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Cash Flows</t>
  </si>
  <si>
    <t>Profit from operations</t>
  </si>
  <si>
    <t>Payables</t>
  </si>
  <si>
    <t>Loans Advances</t>
  </si>
  <si>
    <t>Operating investments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</si>
  <si>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</si>
  <si>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</si>
  <si>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</si>
  <si>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</si>
  <si>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</si>
  <si>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</si>
  <si>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</si>
  <si>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Investment income</t>
  </si>
  <si>
    <t>Interest received</t>
  </si>
  <si>
    <t>Dividends received</t>
  </si>
  <si>
    <t>Investment in group cos</t>
  </si>
  <si>
    <t>Redemp n Canc of Shares</t>
  </si>
  <si>
    <t>Other investing items</t>
  </si>
  <si>
    <t>Proceeds from shares</t>
  </si>
  <si>
    <t>Proceeds from debentures</t>
  </si>
  <si>
    <t>Redemption of debentures</t>
  </si>
  <si>
    <t>Proceeds from borrowings</t>
  </si>
  <si>
    <t>Repayment of borrowings</t>
  </si>
  <si>
    <t>Interest paid fin</t>
  </si>
  <si>
    <t>Financial liabilities</t>
  </si>
  <si>
    <t>Application money refund</t>
  </si>
  <si>
    <t>Other financing items</t>
  </si>
  <si>
    <t>CFO/OP</t>
  </si>
  <si>
    <r>
      <t>Cash from Operating Activity </t>
    </r>
    <r>
      <rPr>
        <sz val="11"/>
        <color rgb="FF665EFD"/>
        <rFont val="Aptos Narrow"/>
        <family val="2"/>
        <scheme val="minor"/>
      </rPr>
      <t>-</t>
    </r>
  </si>
  <si>
    <r>
      <t>Cash from Investing Activity </t>
    </r>
    <r>
      <rPr>
        <sz val="11"/>
        <color rgb="FF665EFD"/>
        <rFont val="Aptos Narrow"/>
        <family val="2"/>
        <scheme val="minor"/>
      </rPr>
      <t>-</t>
    </r>
  </si>
  <si>
    <r>
      <t>Cash from Financing Activity </t>
    </r>
    <r>
      <rPr>
        <sz val="11"/>
        <color rgb="FF665EFD"/>
        <rFont val="Aptos Narrow"/>
        <family val="2"/>
        <scheme val="minor"/>
      </rPr>
      <t>-</t>
    </r>
  </si>
  <si>
    <t>Balance sheet</t>
  </si>
  <si>
    <t>Calculation of discount rate (WACC)</t>
  </si>
  <si>
    <t>Cost of equity</t>
  </si>
  <si>
    <t>Cost of debt</t>
  </si>
  <si>
    <t>Risk Free Rate</t>
  </si>
  <si>
    <t>Equity Risk Premium</t>
  </si>
  <si>
    <t>Levered Beta</t>
  </si>
  <si>
    <t>Capital Structure</t>
  </si>
  <si>
    <t>Total Debt</t>
  </si>
  <si>
    <t>Total Equity</t>
  </si>
  <si>
    <t>Equity Weight</t>
  </si>
  <si>
    <t>Debt Weight</t>
  </si>
  <si>
    <t>https://in.investing.com/rates-bonds/india-10-year-bond-yield-historical-data</t>
  </si>
  <si>
    <t>https://pages.stern.nyu.edu/~adamodar/</t>
  </si>
  <si>
    <t>https://www.moneycontrol.com/india/stockpricequote/retail/avenuesupermarts/AS19</t>
  </si>
  <si>
    <t>Cost of Equity (Ke)</t>
  </si>
  <si>
    <t>Spread</t>
  </si>
  <si>
    <t>After Tax Cost of Debt(Kd)</t>
  </si>
  <si>
    <t>(Amount in Cr.)</t>
  </si>
  <si>
    <t>https://www.screener.in/company/DMART/consolidated/</t>
  </si>
  <si>
    <t>Weighted Average Cost of Capital
(discount rate)</t>
  </si>
  <si>
    <t>Narration</t>
  </si>
  <si>
    <t>AVENUE SUPERMARTS LTD(Consolidated Figures in Rs. Crores)</t>
  </si>
  <si>
    <t>Sales Growth %</t>
  </si>
  <si>
    <t>EBIDTA</t>
  </si>
  <si>
    <t>Actual</t>
  </si>
  <si>
    <t>Forecast</t>
  </si>
  <si>
    <t>Year</t>
  </si>
  <si>
    <t>Cash NOPAT</t>
  </si>
  <si>
    <t>FCFF</t>
  </si>
  <si>
    <t>Capex</t>
  </si>
  <si>
    <t>PV of FCFF</t>
  </si>
  <si>
    <t>Terminal Value</t>
  </si>
  <si>
    <t>5th Year FCF*(1+g)</t>
  </si>
  <si>
    <t>PV of Terminal value</t>
  </si>
  <si>
    <t xml:space="preserve">Median </t>
  </si>
  <si>
    <t>WC as a % of Sales</t>
  </si>
  <si>
    <t>Depn as a % of Net block</t>
  </si>
  <si>
    <t>Details</t>
  </si>
  <si>
    <t>Enterprise Value</t>
  </si>
  <si>
    <t>Add: cash</t>
  </si>
  <si>
    <t>Less: Debt</t>
  </si>
  <si>
    <t>Equity Value per Share</t>
  </si>
  <si>
    <t>Premium</t>
  </si>
  <si>
    <t>Current Price (Market)</t>
  </si>
  <si>
    <t xml:space="preserve"> % of Sales</t>
  </si>
  <si>
    <t>Historical</t>
  </si>
  <si>
    <t>Intrinsic value</t>
  </si>
  <si>
    <t>Discounting rate(WACC)</t>
  </si>
  <si>
    <t>COGS</t>
  </si>
  <si>
    <t>Gross Profit</t>
  </si>
  <si>
    <t>Operating Expense</t>
  </si>
  <si>
    <t>Other income</t>
  </si>
  <si>
    <t xml:space="preserve"> % of Debt</t>
  </si>
  <si>
    <t>PBT</t>
  </si>
  <si>
    <t>NOPAT</t>
  </si>
  <si>
    <t xml:space="preserve">Median-Depn as % of net block </t>
  </si>
  <si>
    <t>Growth % in Net block</t>
  </si>
  <si>
    <t>Median-growth %  Net block</t>
  </si>
  <si>
    <t>Considering India's GDP growth</t>
  </si>
  <si>
    <t>Terminal growth rate (g)</t>
  </si>
  <si>
    <t>PV of  all FCFF + PV of Terminal value</t>
  </si>
  <si>
    <t>Enterprise value</t>
  </si>
  <si>
    <t>Outstanding shares</t>
  </si>
  <si>
    <t>Quarters</t>
  </si>
  <si>
    <t>Expenses</t>
  </si>
  <si>
    <t>Operating Profit</t>
  </si>
  <si>
    <t>BALANCE SHEET</t>
  </si>
  <si>
    <t>Equity Share Capital</t>
  </si>
  <si>
    <t>Borrowings</t>
  </si>
  <si>
    <t>Other Liabilities</t>
  </si>
  <si>
    <t>Total</t>
  </si>
  <si>
    <t>Capital Work in Progress</t>
  </si>
  <si>
    <t>Other Assets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</si>
  <si>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</si>
  <si>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</si>
  <si>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</si>
  <si>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</si>
  <si>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</si>
  <si>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</si>
  <si>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</si>
  <si>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</si>
  <si>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</si>
  <si>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</si>
  <si>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</si>
  <si>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Balance Sheet</t>
  </si>
  <si>
    <t>Fixed Assets Net Block</t>
  </si>
  <si>
    <t>Total Non Current Assets</t>
  </si>
  <si>
    <t>Total Current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</si>
  <si>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</si>
  <si>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</si>
  <si>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</si>
  <si>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</si>
  <si>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</si>
  <si>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Income statement</t>
  </si>
  <si>
    <t>AVENUE SUPERMARTS LTD( DMART)</t>
  </si>
  <si>
    <r>
      <t>Calculation of Free cash flow(</t>
    </r>
    <r>
      <rPr>
        <i/>
        <u/>
        <sz val="10"/>
        <color theme="0"/>
        <rFont val="Aptos Narrow"/>
        <family val="2"/>
        <scheme val="minor"/>
      </rPr>
      <t>Consolidated Figures in Rs. Crores</t>
    </r>
    <r>
      <rPr>
        <b/>
        <u/>
        <sz val="12"/>
        <color theme="0"/>
        <rFont val="Aptos Narrow"/>
        <family val="2"/>
        <scheme val="minor"/>
      </rPr>
      <t>)</t>
    </r>
  </si>
  <si>
    <t>DCF calculation</t>
  </si>
  <si>
    <t>WACC calculation</t>
  </si>
  <si>
    <t xml:space="preserve">Historical Financial statements and growth </t>
  </si>
  <si>
    <t>DCF Valuation of AVENUE SUPERMARTS LTD( DMART)</t>
  </si>
  <si>
    <t>Prepared by: Jyoti Barik</t>
  </si>
  <si>
    <t>Pre-tax Cost of Debt(Risk free rate + Spread)</t>
  </si>
  <si>
    <t>=(Cost_of_equity*Equity_weight)+(Cost_of_debt*Debt_weight)'</t>
  </si>
  <si>
    <t>=Risk_Free_Rate+(Equity_Risk_Premium*Levered_Beta)'</t>
  </si>
  <si>
    <t>=pretax_cost_of_debt*(1-tax_rate)'</t>
  </si>
  <si>
    <t>Growth %(assumption based on past 10 years growth rate)</t>
  </si>
  <si>
    <t>FCFF of Mar-30*(1+terminal growth rate)</t>
  </si>
  <si>
    <t>FCF for Mar-30 * (1+g) / (WACC - g)</t>
  </si>
  <si>
    <t>Less: Depreciation
(assumption based on percent of net block)</t>
  </si>
  <si>
    <t>Less: Tax (26%)</t>
  </si>
  <si>
    <t>Add : Depreciation</t>
  </si>
  <si>
    <t>Less: Capex &amp; Changes in WC</t>
  </si>
  <si>
    <t>(assumption based on percent of NOPAT)</t>
  </si>
  <si>
    <t>TV/(1+WACC)^no. of years in forecast period</t>
  </si>
  <si>
    <t>Terminal value (TV)</t>
  </si>
  <si>
    <t>PV of Free Cash flow [FCFF/(1+WACC)^n]</t>
  </si>
  <si>
    <t>WACC</t>
  </si>
  <si>
    <t>Sensitivity Analysis</t>
  </si>
  <si>
    <t>Growth rate</t>
  </si>
  <si>
    <t>As on 30 Apr 2026</t>
  </si>
  <si>
    <t>Data based on Apr 30,2026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</si>
</sst>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[$-409]mmm\-yy;@"/>
    <numFmt numFmtId="165" formatCode="#,##0.0;\(#,##0.0\);\-"/>
    <numFmt numFmtId="166" formatCode="#,##0.0"/>
    <numFmt numFmtId="167" formatCode="_ * #,##0_ ;_ * \-#,##0_ ;_ * &quot;-&quot;??_ ;_ @_ "/>
    <numFmt numFmtId="168" formatCode="0.0%"/>
    <numFmt numFmtId="169" formatCode="0.00\x"/>
    <numFmt numFmtId="170" formatCode="_(* #,##0.00_);_(* \(#,##0.00\);_(* &quot;-&quot;??_);_(@_)"/>
    <numFmt numFmtId="171" formatCode="&quot;₹&quot;\ #,##0.0;\(&quot;₹&quot;\ #,##0.0\);\-"/>
  </numFmts>
  <fonts count="51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u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sz val="11"/>
      <color rgb="FF665EFD"/>
      <name val="Aptos Narrow"/>
      <family val="2"/>
      <scheme val="minor"/>
    </font>
    <font>
      <sz val="11"/>
      <color rgb="FF606F7B"/>
      <name val="Aptos Narrow"/>
      <family val="2"/>
      <scheme val="minor"/>
    </font>
    <font>
      <b/>
      <u/>
      <sz val="14"/>
      <color rgb="FF606F7B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6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7"/>
      <name val="Arial"/>
      <family val="2"/>
    </font>
    <font>
      <sz val="11"/>
      <color rgb="FF7030A0"/>
      <name val="Aptos Narrow"/>
      <family val="2"/>
      <scheme val="minor"/>
    </font>
    <font>
      <sz val="10"/>
      <color rgb="FF7030A0"/>
      <name val="Arial"/>
      <family val="2"/>
    </font>
    <font>
      <b/>
      <i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u/>
      <sz val="10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0"/>
      <name val="Arial"/>
      <family val="2"/>
    </font>
    <font>
      <i/>
      <u/>
      <sz val="1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2"/>
      <color theme="0"/>
      <name val="Arial"/>
      <family val="2"/>
    </font>
    <font>
      <i/>
      <sz val="11"/>
      <color rgb="FF0070C0"/>
      <name val="Aptos Narrow"/>
      <family val="2"/>
      <scheme val="minor"/>
    </font>
    <font>
      <i/>
      <sz val="11"/>
      <color theme="3" tint="0.249977111117893"/>
      <name val="Aptos Narrow"/>
      <family val="2"/>
      <scheme val="minor"/>
    </font>
    <font>
      <i/>
      <sz val="11"/>
      <color theme="3" tint="0.249977111117893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456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2506C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rgb="FF002060"/>
      </top>
      <bottom style="hair">
        <color rgb="FF002060"/>
      </bottom>
      <diagonal/>
    </border>
    <border>
      <left/>
      <right style="thin">
        <color indexed="64"/>
      </right>
      <top style="hair">
        <color rgb="FF002060"/>
      </top>
      <bottom style="hair">
        <color rgb="FF00206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43">
    <xf numFmtId="0" fontId="0" fillId="0" borderId="0" xfId="0"/>
    <xf numFmtId="0" fontId="0" fillId="0" borderId="1" xfId="0" applyBorder="1"/>
    <xf numFmtId="43" fontId="8" fillId="0" borderId="0" xfId="1" applyFont="1" applyBorder="1"/>
    <xf numFmtId="43" fontId="10" fillId="0" borderId="0" xfId="1" applyFont="1" applyBorder="1"/>
    <xf numFmtId="0" fontId="10" fillId="0" borderId="0" xfId="0" applyFont="1"/>
    <xf numFmtId="164" fontId="11" fillId="5" borderId="0" xfId="1" applyNumberFormat="1" applyFont="1" applyFill="1" applyBorder="1"/>
    <xf numFmtId="164" fontId="11" fillId="5" borderId="0" xfId="0" applyNumberFormat="1" applyFont="1" applyFill="1" applyAlignment="1">
      <alignment horizontal="center"/>
    </xf>
    <xf numFmtId="43" fontId="10" fillId="0" borderId="0" xfId="5" applyFont="1" applyBorder="1"/>
    <xf numFmtId="9" fontId="10" fillId="0" borderId="0" xfId="2" applyFont="1" applyBorder="1"/>
    <xf numFmtId="0" fontId="4" fillId="6" borderId="0" xfId="0" applyFont="1" applyFill="1"/>
    <xf numFmtId="17" fontId="4" fillId="6" borderId="0" xfId="0" applyNumberFormat="1" applyFont="1" applyFill="1"/>
    <xf numFmtId="0" fontId="5" fillId="0" borderId="0" xfId="0" applyFont="1"/>
    <xf numFmtId="165" fontId="0" fillId="0" borderId="2" xfId="0" applyNumberFormat="1" applyBorder="1"/>
    <xf numFmtId="165" fontId="0" fillId="0" borderId="3" xfId="0" applyNumberFormat="1" applyBorder="1"/>
    <xf numFmtId="0" fontId="5" fillId="0" borderId="4" xfId="0" applyFont="1" applyBorder="1"/>
    <xf numFmtId="165" fontId="5" fillId="0" borderId="4" xfId="0" applyNumberFormat="1" applyFont="1" applyBorder="1"/>
    <xf numFmtId="165" fontId="5" fillId="0" borderId="0" xfId="0" applyNumberFormat="1" applyFont="1"/>
    <xf numFmtId="165" fontId="5" fillId="0" borderId="2" xfId="0" applyNumberFormat="1" applyFont="1" applyBorder="1"/>
    <xf numFmtId="166" fontId="5" fillId="0" borderId="0" xfId="0" applyNumberFormat="1" applyFont="1"/>
    <xf numFmtId="3" fontId="0" fillId="0" borderId="0" xfId="0" applyNumberFormat="1"/>
    <xf numFmtId="3" fontId="5" fillId="0" borderId="4" xfId="0" applyNumberFormat="1" applyFont="1" applyBorder="1"/>
    <xf numFmtId="0" fontId="12" fillId="8" borderId="6" xfId="0" applyFont="1" applyFill="1" applyBorder="1" applyAlignment="1">
      <alignment horizontal="left" vertical="center" indent="2"/>
    </xf>
    <xf numFmtId="0" fontId="12" fillId="8" borderId="6" xfId="0" applyFont="1" applyFill="1" applyBorder="1" applyAlignment="1">
      <alignment horizontal="right" vertical="center" wrapText="1" indent="1"/>
    </xf>
    <xf numFmtId="3" fontId="12" fillId="8" borderId="6" xfId="0" applyNumberFormat="1" applyFont="1" applyFill="1" applyBorder="1" applyAlignment="1">
      <alignment horizontal="right" vertical="center" wrapText="1" indent="1"/>
    </xf>
    <xf numFmtId="0" fontId="12" fillId="8" borderId="6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right" vertical="center" wrapText="1" indent="1"/>
    </xf>
    <xf numFmtId="3" fontId="0" fillId="8" borderId="0" xfId="0" applyNumberFormat="1" applyFill="1" applyAlignment="1">
      <alignment horizontal="right" vertical="center" wrapText="1" indent="1"/>
    </xf>
    <xf numFmtId="0" fontId="12" fillId="7" borderId="6" xfId="0" applyFont="1" applyFill="1" applyBorder="1" applyAlignment="1">
      <alignment horizontal="left" vertical="center" indent="2"/>
    </xf>
    <xf numFmtId="0" fontId="12" fillId="7" borderId="6" xfId="0" applyFont="1" applyFill="1" applyBorder="1" applyAlignment="1">
      <alignment horizontal="right" vertical="center" wrapText="1" indent="1"/>
    </xf>
    <xf numFmtId="3" fontId="12" fillId="7" borderId="6" xfId="0" applyNumberFormat="1" applyFont="1" applyFill="1" applyBorder="1" applyAlignment="1">
      <alignment horizontal="right" vertical="center" wrapText="1" indent="1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 wrapText="1" indent="1"/>
    </xf>
    <xf numFmtId="3" fontId="0" fillId="7" borderId="0" xfId="0" applyNumberForma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0" fontId="14" fillId="8" borderId="0" xfId="0" applyFont="1" applyFill="1" applyAlignment="1">
      <alignment horizontal="right" vertical="center" wrapText="1" indent="1"/>
    </xf>
    <xf numFmtId="3" fontId="14" fillId="8" borderId="0" xfId="0" applyNumberFormat="1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left" vertical="center" indent="2"/>
    </xf>
    <xf numFmtId="9" fontId="14" fillId="7" borderId="0" xfId="0" applyNumberFormat="1" applyFont="1" applyFill="1" applyAlignment="1">
      <alignment horizontal="right" vertical="center" wrapText="1" indent="1"/>
    </xf>
    <xf numFmtId="0" fontId="16" fillId="0" borderId="0" xfId="0" applyFont="1"/>
    <xf numFmtId="0" fontId="15" fillId="6" borderId="5" xfId="0" applyFont="1" applyFill="1" applyBorder="1" applyAlignment="1">
      <alignment horizontal="left" vertical="center" indent="2"/>
    </xf>
    <xf numFmtId="0" fontId="18" fillId="0" borderId="0" xfId="0" applyFont="1"/>
    <xf numFmtId="0" fontId="5" fillId="0" borderId="1" xfId="0" applyFont="1" applyBorder="1"/>
    <xf numFmtId="0" fontId="18" fillId="0" borderId="7" xfId="0" applyFont="1" applyBorder="1"/>
    <xf numFmtId="0" fontId="0" fillId="0" borderId="7" xfId="0" applyBorder="1"/>
    <xf numFmtId="10" fontId="0" fillId="0" borderId="0" xfId="0" applyNumberFormat="1"/>
    <xf numFmtId="0" fontId="7" fillId="0" borderId="0" xfId="4"/>
    <xf numFmtId="9" fontId="0" fillId="0" borderId="7" xfId="0" applyNumberFormat="1" applyBorder="1"/>
    <xf numFmtId="10" fontId="0" fillId="0" borderId="0" xfId="2" applyNumberFormat="1" applyFont="1"/>
    <xf numFmtId="10" fontId="5" fillId="0" borderId="4" xfId="0" applyNumberFormat="1" applyFont="1" applyBorder="1"/>
    <xf numFmtId="167" fontId="19" fillId="0" borderId="0" xfId="1" applyNumberFormat="1" applyFont="1" applyBorder="1"/>
    <xf numFmtId="0" fontId="5" fillId="0" borderId="0" xfId="0" applyFont="1" applyAlignment="1">
      <alignment horizontal="left"/>
    </xf>
    <xf numFmtId="167" fontId="0" fillId="0" borderId="0" xfId="0" applyNumberFormat="1"/>
    <xf numFmtId="0" fontId="5" fillId="8" borderId="6" xfId="0" applyFont="1" applyFill="1" applyBorder="1" applyAlignment="1">
      <alignment horizontal="left" vertical="center"/>
    </xf>
    <xf numFmtId="166" fontId="0" fillId="0" borderId="0" xfId="0" applyNumberFormat="1"/>
    <xf numFmtId="168" fontId="0" fillId="0" borderId="0" xfId="2" applyNumberFormat="1" applyFont="1"/>
    <xf numFmtId="43" fontId="0" fillId="0" borderId="0" xfId="0" applyNumberFormat="1"/>
    <xf numFmtId="43" fontId="0" fillId="0" borderId="1" xfId="0" applyNumberFormat="1" applyBorder="1"/>
    <xf numFmtId="167" fontId="0" fillId="0" borderId="1" xfId="2" applyNumberFormat="1" applyFont="1" applyBorder="1"/>
    <xf numFmtId="2" fontId="0" fillId="0" borderId="1" xfId="0" applyNumberFormat="1" applyBorder="1"/>
    <xf numFmtId="167" fontId="5" fillId="0" borderId="4" xfId="0" applyNumberFormat="1" applyFont="1" applyBorder="1"/>
    <xf numFmtId="0" fontId="5" fillId="0" borderId="8" xfId="0" applyFont="1" applyBorder="1"/>
    <xf numFmtId="0" fontId="23" fillId="9" borderId="1" xfId="0" applyFont="1" applyFill="1" applyBorder="1" applyAlignment="1">
      <alignment horizontal="left"/>
    </xf>
    <xf numFmtId="0" fontId="6" fillId="9" borderId="1" xfId="0" applyFont="1" applyFill="1" applyBorder="1"/>
    <xf numFmtId="0" fontId="10" fillId="0" borderId="11" xfId="0" applyFont="1" applyBorder="1"/>
    <xf numFmtId="0" fontId="0" fillId="0" borderId="17" xfId="0" applyBorder="1"/>
    <xf numFmtId="0" fontId="0" fillId="0" borderId="18" xfId="0" applyBorder="1"/>
    <xf numFmtId="164" fontId="11" fillId="11" borderId="0" xfId="0" applyNumberFormat="1" applyFont="1" applyFill="1" applyAlignment="1">
      <alignment horizontal="center"/>
    </xf>
    <xf numFmtId="164" fontId="11" fillId="11" borderId="12" xfId="0" applyNumberFormat="1" applyFont="1" applyFill="1" applyBorder="1" applyAlignment="1">
      <alignment horizontal="center"/>
    </xf>
    <xf numFmtId="9" fontId="0" fillId="3" borderId="12" xfId="0" applyNumberFormat="1" applyFill="1" applyBorder="1"/>
    <xf numFmtId="0" fontId="5" fillId="0" borderId="18" xfId="0" applyFont="1" applyBorder="1"/>
    <xf numFmtId="43" fontId="0" fillId="0" borderId="12" xfId="0" applyNumberFormat="1" applyBorder="1"/>
    <xf numFmtId="0" fontId="5" fillId="0" borderId="18" xfId="0" applyFont="1" applyBorder="1" applyAlignment="1">
      <alignment horizontal="left"/>
    </xf>
    <xf numFmtId="0" fontId="0" fillId="0" borderId="16" xfId="0" applyBorder="1"/>
    <xf numFmtId="43" fontId="0" fillId="0" borderId="14" xfId="0" applyNumberFormat="1" applyBorder="1"/>
    <xf numFmtId="167" fontId="0" fillId="0" borderId="14" xfId="2" applyNumberFormat="1" applyFont="1" applyBorder="1"/>
    <xf numFmtId="167" fontId="5" fillId="0" borderId="0" xfId="0" applyNumberFormat="1" applyFont="1"/>
    <xf numFmtId="167" fontId="5" fillId="0" borderId="12" xfId="0" applyNumberFormat="1" applyFont="1" applyBorder="1"/>
    <xf numFmtId="2" fontId="0" fillId="0" borderId="14" xfId="0" applyNumberFormat="1" applyBorder="1"/>
    <xf numFmtId="167" fontId="5" fillId="0" borderId="10" xfId="0" applyNumberFormat="1" applyFont="1" applyBorder="1"/>
    <xf numFmtId="0" fontId="4" fillId="10" borderId="19" xfId="0" applyFont="1" applyFill="1" applyBorder="1"/>
    <xf numFmtId="164" fontId="11" fillId="9" borderId="18" xfId="0" applyNumberFormat="1" applyFont="1" applyFill="1" applyBorder="1" applyAlignment="1">
      <alignment horizontal="left"/>
    </xf>
    <xf numFmtId="10" fontId="20" fillId="3" borderId="18" xfId="2" applyNumberFormat="1" applyFont="1" applyFill="1" applyBorder="1"/>
    <xf numFmtId="0" fontId="0" fillId="0" borderId="15" xfId="0" applyBorder="1"/>
    <xf numFmtId="0" fontId="0" fillId="0" borderId="4" xfId="0" applyBorder="1"/>
    <xf numFmtId="4" fontId="0" fillId="0" borderId="4" xfId="0" applyNumberFormat="1" applyBorder="1"/>
    <xf numFmtId="169" fontId="0" fillId="0" borderId="0" xfId="2" applyNumberFormat="1" applyFont="1"/>
    <xf numFmtId="0" fontId="24" fillId="0" borderId="0" xfId="0" applyFont="1"/>
    <xf numFmtId="43" fontId="25" fillId="0" borderId="0" xfId="1" applyFont="1" applyBorder="1"/>
    <xf numFmtId="0" fontId="26" fillId="0" borderId="0" xfId="0" applyFont="1"/>
    <xf numFmtId="43" fontId="27" fillId="0" borderId="0" xfId="1" applyFont="1" applyBorder="1"/>
    <xf numFmtId="43" fontId="28" fillId="13" borderId="1" xfId="0" applyNumberFormat="1" applyFont="1" applyFill="1" applyBorder="1" applyAlignment="1">
      <alignment horizontal="left"/>
    </xf>
    <xf numFmtId="0" fontId="29" fillId="0" borderId="1" xfId="0" applyFont="1" applyBorder="1"/>
    <xf numFmtId="3" fontId="29" fillId="0" borderId="1" xfId="0" applyNumberFormat="1" applyFont="1" applyBorder="1"/>
    <xf numFmtId="0" fontId="30" fillId="0" borderId="16" xfId="0" applyFont="1" applyBorder="1" applyAlignment="1">
      <alignment horizontal="right"/>
    </xf>
    <xf numFmtId="0" fontId="29" fillId="0" borderId="0" xfId="0" applyFont="1"/>
    <xf numFmtId="0" fontId="31" fillId="0" borderId="8" xfId="0" applyFont="1" applyBorder="1" applyAlignment="1">
      <alignment horizontal="center"/>
    </xf>
    <xf numFmtId="17" fontId="32" fillId="6" borderId="0" xfId="0" applyNumberFormat="1" applyFont="1" applyFill="1"/>
    <xf numFmtId="167" fontId="29" fillId="0" borderId="17" xfId="1" applyNumberFormat="1" applyFont="1" applyBorder="1"/>
    <xf numFmtId="167" fontId="29" fillId="0" borderId="0" xfId="1" applyNumberFormat="1" applyFont="1" applyBorder="1"/>
    <xf numFmtId="0" fontId="30" fillId="0" borderId="18" xfId="0" applyFont="1" applyBorder="1" applyAlignment="1">
      <alignment horizontal="right"/>
    </xf>
    <xf numFmtId="0" fontId="29" fillId="0" borderId="17" xfId="0" applyFont="1" applyBorder="1"/>
    <xf numFmtId="10" fontId="29" fillId="0" borderId="15" xfId="2" applyNumberFormat="1" applyFont="1" applyBorder="1"/>
    <xf numFmtId="10" fontId="29" fillId="0" borderId="1" xfId="2" applyNumberFormat="1" applyFont="1" applyBorder="1"/>
    <xf numFmtId="0" fontId="30" fillId="0" borderId="8" xfId="0" applyFont="1" applyBorder="1" applyAlignment="1">
      <alignment horizontal="right"/>
    </xf>
    <xf numFmtId="10" fontId="29" fillId="0" borderId="16" xfId="0" applyNumberFormat="1" applyFont="1" applyBorder="1"/>
    <xf numFmtId="0" fontId="30" fillId="12" borderId="19" xfId="0" applyFont="1" applyFill="1" applyBorder="1" applyAlignment="1">
      <alignment horizontal="right" vertical="center"/>
    </xf>
    <xf numFmtId="167" fontId="33" fillId="0" borderId="11" xfId="1" applyNumberFormat="1" applyFont="1" applyBorder="1"/>
    <xf numFmtId="167" fontId="33" fillId="0" borderId="17" xfId="1" applyNumberFormat="1" applyFont="1" applyBorder="1"/>
    <xf numFmtId="167" fontId="33" fillId="0" borderId="0" xfId="1" applyNumberFormat="1" applyFont="1" applyBorder="1"/>
    <xf numFmtId="9" fontId="29" fillId="0" borderId="9" xfId="2" applyFont="1" applyBorder="1"/>
    <xf numFmtId="9" fontId="29" fillId="0" borderId="4" xfId="2" applyFont="1" applyBorder="1"/>
    <xf numFmtId="9" fontId="29" fillId="0" borderId="0" xfId="0" applyNumberFormat="1" applyFont="1"/>
    <xf numFmtId="0" fontId="18" fillId="0" borderId="1" xfId="0" applyFont="1" applyBorder="1"/>
    <xf numFmtId="3" fontId="0" fillId="0" borderId="4" xfId="0" applyNumberFormat="1" applyBorder="1"/>
    <xf numFmtId="0" fontId="1" fillId="0" borderId="20" xfId="0" applyFont="1" applyBorder="1"/>
    <xf numFmtId="10" fontId="5" fillId="0" borderId="20" xfId="0" applyNumberFormat="1" applyFont="1" applyBorder="1"/>
    <xf numFmtId="0" fontId="5" fillId="13" borderId="1" xfId="0" applyFont="1" applyFill="1" applyBorder="1"/>
    <xf numFmtId="0" fontId="1" fillId="13" borderId="1" xfId="0" applyFont="1" applyFill="1" applyBorder="1"/>
    <xf numFmtId="0" fontId="1" fillId="13" borderId="4" xfId="0" applyFont="1" applyFill="1" applyBorder="1" applyAlignment="1">
      <alignment wrapText="1"/>
    </xf>
    <xf numFmtId="0" fontId="0" fillId="13" borderId="1" xfId="0" applyFill="1" applyBorder="1"/>
    <xf numFmtId="43" fontId="10" fillId="0" borderId="8" xfId="1" applyFont="1" applyBorder="1" applyAlignment="1">
      <alignment horizontal="right"/>
    </xf>
    <xf numFmtId="0" fontId="29" fillId="0" borderId="8" xfId="0" applyFont="1" applyBorder="1" applyAlignment="1">
      <alignment horizontal="right"/>
    </xf>
    <xf numFmtId="8" fontId="0" fillId="0" borderId="0" xfId="0" applyNumberFormat="1"/>
    <xf numFmtId="10" fontId="20" fillId="0" borderId="0" xfId="2" applyNumberFormat="1" applyFont="1" applyFill="1" applyBorder="1"/>
    <xf numFmtId="10" fontId="37" fillId="0" borderId="0" xfId="2" applyNumberFormat="1" applyFont="1" applyBorder="1"/>
    <xf numFmtId="43" fontId="19" fillId="0" borderId="0" xfId="1" applyFont="1" applyBorder="1"/>
    <xf numFmtId="168" fontId="19" fillId="0" borderId="0" xfId="2" applyNumberFormat="1" applyFont="1" applyBorder="1"/>
    <xf numFmtId="43" fontId="37" fillId="0" borderId="0" xfId="2" applyNumberFormat="1" applyFont="1" applyBorder="1"/>
    <xf numFmtId="43" fontId="36" fillId="0" borderId="0" xfId="2" applyNumberFormat="1" applyFont="1" applyBorder="1"/>
    <xf numFmtId="43" fontId="36" fillId="0" borderId="0" xfId="1" applyFont="1" applyBorder="1"/>
    <xf numFmtId="9" fontId="29" fillId="0" borderId="0" xfId="2" applyFont="1"/>
    <xf numFmtId="43" fontId="38" fillId="0" borderId="0" xfId="0" applyNumberFormat="1" applyFont="1"/>
    <xf numFmtId="0" fontId="39" fillId="0" borderId="18" xfId="0" applyFont="1" applyBorder="1" applyAlignment="1">
      <alignment horizontal="right"/>
    </xf>
    <xf numFmtId="167" fontId="30" fillId="0" borderId="18" xfId="1" applyNumberFormat="1" applyFont="1" applyBorder="1" applyAlignment="1">
      <alignment horizontal="left"/>
    </xf>
    <xf numFmtId="0" fontId="30" fillId="0" borderId="16" xfId="0" applyFont="1" applyBorder="1" applyAlignment="1">
      <alignment horizontal="left"/>
    </xf>
    <xf numFmtId="0" fontId="38" fillId="0" borderId="8" xfId="0" applyFont="1" applyBorder="1" applyAlignment="1">
      <alignment horizontal="right"/>
    </xf>
    <xf numFmtId="10" fontId="30" fillId="0" borderId="16" xfId="0" applyNumberFormat="1" applyFont="1" applyBorder="1"/>
    <xf numFmtId="9" fontId="29" fillId="0" borderId="0" xfId="2" applyFont="1" applyBorder="1"/>
    <xf numFmtId="0" fontId="0" fillId="0" borderId="12" xfId="0" applyBorder="1"/>
    <xf numFmtId="0" fontId="0" fillId="0" borderId="11" xfId="0" applyBorder="1"/>
    <xf numFmtId="43" fontId="0" fillId="0" borderId="11" xfId="0" applyNumberFormat="1" applyBorder="1"/>
    <xf numFmtId="6" fontId="5" fillId="15" borderId="0" xfId="0" applyNumberFormat="1" applyFont="1" applyFill="1"/>
    <xf numFmtId="167" fontId="5" fillId="16" borderId="1" xfId="0" applyNumberFormat="1" applyFont="1" applyFill="1" applyBorder="1"/>
    <xf numFmtId="0" fontId="35" fillId="0" borderId="0" xfId="0" applyFont="1"/>
    <xf numFmtId="0" fontId="5" fillId="0" borderId="9" xfId="0" applyFont="1" applyBorder="1" applyAlignment="1">
      <alignment horizontal="left"/>
    </xf>
    <xf numFmtId="43" fontId="5" fillId="0" borderId="4" xfId="0" applyNumberFormat="1" applyFont="1" applyBorder="1"/>
    <xf numFmtId="0" fontId="8" fillId="0" borderId="0" xfId="0" applyFont="1"/>
    <xf numFmtId="170" fontId="10" fillId="0" borderId="0" xfId="1" applyNumberFormat="1" applyFont="1" applyBorder="1"/>
    <xf numFmtId="171" fontId="41" fillId="0" borderId="2" xfId="0" applyNumberFormat="1" applyFont="1" applyBorder="1"/>
    <xf numFmtId="164" fontId="11" fillId="9" borderId="21" xfId="1" applyNumberFormat="1" applyFont="1" applyFill="1" applyBorder="1"/>
    <xf numFmtId="164" fontId="11" fillId="9" borderId="11" xfId="0" applyNumberFormat="1" applyFont="1" applyFill="1" applyBorder="1" applyAlignment="1">
      <alignment horizontal="center"/>
    </xf>
    <xf numFmtId="164" fontId="11" fillId="9" borderId="13" xfId="0" applyNumberFormat="1" applyFont="1" applyFill="1" applyBorder="1" applyAlignment="1">
      <alignment horizontal="center"/>
    </xf>
    <xf numFmtId="0" fontId="5" fillId="0" borderId="17" xfId="0" applyFont="1" applyBorder="1"/>
    <xf numFmtId="167" fontId="19" fillId="0" borderId="12" xfId="1" applyNumberFormat="1" applyFont="1" applyBorder="1"/>
    <xf numFmtId="0" fontId="35" fillId="0" borderId="17" xfId="0" applyFont="1" applyBorder="1" applyAlignment="1">
      <alignment horizontal="right"/>
    </xf>
    <xf numFmtId="0" fontId="19" fillId="0" borderId="0" xfId="0" applyFont="1"/>
    <xf numFmtId="10" fontId="37" fillId="0" borderId="12" xfId="2" applyNumberFormat="1" applyFont="1" applyBorder="1"/>
    <xf numFmtId="43" fontId="19" fillId="0" borderId="12" xfId="1" applyFont="1" applyBorder="1"/>
    <xf numFmtId="168" fontId="19" fillId="0" borderId="12" xfId="2" applyNumberFormat="1" applyFont="1" applyBorder="1"/>
    <xf numFmtId="0" fontId="5" fillId="0" borderId="17" xfId="0" applyFont="1" applyBorder="1" applyAlignment="1">
      <alignment horizontal="left"/>
    </xf>
    <xf numFmtId="43" fontId="36" fillId="0" borderId="12" xfId="1" applyFont="1" applyBorder="1"/>
    <xf numFmtId="43" fontId="36" fillId="0" borderId="12" xfId="2" applyNumberFormat="1" applyFont="1" applyBorder="1"/>
    <xf numFmtId="0" fontId="35" fillId="0" borderId="15" xfId="0" applyFont="1" applyBorder="1" applyAlignment="1">
      <alignment horizontal="right"/>
    </xf>
    <xf numFmtId="10" fontId="37" fillId="0" borderId="1" xfId="2" applyNumberFormat="1" applyFont="1" applyBorder="1"/>
    <xf numFmtId="10" fontId="37" fillId="0" borderId="14" xfId="2" applyNumberFormat="1" applyFont="1" applyBorder="1"/>
    <xf numFmtId="0" fontId="18" fillId="0" borderId="17" xfId="0" applyFont="1" applyBorder="1"/>
    <xf numFmtId="171" fontId="18" fillId="0" borderId="0" xfId="0" applyNumberFormat="1" applyFont="1"/>
    <xf numFmtId="171" fontId="18" fillId="0" borderId="12" xfId="0" applyNumberFormat="1" applyFont="1" applyBorder="1"/>
    <xf numFmtId="0" fontId="41" fillId="0" borderId="22" xfId="0" applyFont="1" applyBorder="1"/>
    <xf numFmtId="171" fontId="41" fillId="0" borderId="23" xfId="0" applyNumberFormat="1" applyFont="1" applyBorder="1"/>
    <xf numFmtId="0" fontId="18" fillId="0" borderId="12" xfId="0" applyFont="1" applyBorder="1"/>
    <xf numFmtId="0" fontId="41" fillId="0" borderId="17" xfId="0" applyFont="1" applyBorder="1"/>
    <xf numFmtId="0" fontId="42" fillId="0" borderId="15" xfId="0" applyFont="1" applyBorder="1"/>
    <xf numFmtId="0" fontId="42" fillId="0" borderId="1" xfId="0" applyFont="1" applyBorder="1"/>
    <xf numFmtId="0" fontId="42" fillId="0" borderId="14" xfId="0" applyFont="1" applyBorder="1"/>
    <xf numFmtId="0" fontId="41" fillId="0" borderId="15" xfId="0" applyFont="1" applyBorder="1"/>
    <xf numFmtId="171" fontId="41" fillId="0" borderId="1" xfId="0" applyNumberFormat="1" applyFont="1" applyBorder="1"/>
    <xf numFmtId="171" fontId="41" fillId="0" borderId="14" xfId="0" applyNumberFormat="1" applyFont="1" applyBorder="1"/>
    <xf numFmtId="0" fontId="2" fillId="2" borderId="0" xfId="0" applyFont="1" applyFill="1"/>
    <xf numFmtId="0" fontId="2" fillId="12" borderId="0" xfId="0" applyFont="1" applyFill="1"/>
    <xf numFmtId="0" fontId="0" fillId="12" borderId="0" xfId="0" applyFill="1"/>
    <xf numFmtId="0" fontId="18" fillId="0" borderId="0" xfId="0" applyFont="1" applyAlignment="1">
      <alignment wrapText="1"/>
    </xf>
    <xf numFmtId="10" fontId="0" fillId="0" borderId="0" xfId="0" applyNumberFormat="1" applyAlignment="1">
      <alignment horizontal="right" vertical="center"/>
    </xf>
    <xf numFmtId="43" fontId="43" fillId="12" borderId="0" xfId="1" applyFont="1" applyFill="1" applyBorder="1"/>
    <xf numFmtId="9" fontId="0" fillId="3" borderId="0" xfId="0" applyNumberFormat="1" applyFill="1"/>
    <xf numFmtId="43" fontId="0" fillId="0" borderId="4" xfId="0" applyNumberFormat="1" applyBorder="1"/>
    <xf numFmtId="43" fontId="0" fillId="0" borderId="10" xfId="0" applyNumberFormat="1" applyBorder="1"/>
    <xf numFmtId="0" fontId="0" fillId="0" borderId="21" xfId="0" applyBorder="1"/>
    <xf numFmtId="0" fontId="45" fillId="0" borderId="0" xfId="0" applyFont="1"/>
    <xf numFmtId="0" fontId="46" fillId="0" borderId="0" xfId="4" applyFont="1"/>
    <xf numFmtId="0" fontId="48" fillId="0" borderId="0" xfId="0" applyFont="1"/>
    <xf numFmtId="0" fontId="49" fillId="12" borderId="0" xfId="0" quotePrefix="1" applyFont="1" applyFill="1"/>
    <xf numFmtId="0" fontId="0" fillId="13" borderId="1" xfId="0" applyFill="1" applyBorder="1" applyAlignment="1">
      <alignment horizontal="right"/>
    </xf>
    <xf numFmtId="10" fontId="5" fillId="0" borderId="0" xfId="0" applyNumberFormat="1" applyFont="1"/>
    <xf numFmtId="0" fontId="50" fillId="0" borderId="0" xfId="0" quotePrefix="1" applyFont="1"/>
    <xf numFmtId="0" fontId="49" fillId="0" borderId="0" xfId="0" quotePrefix="1" applyFont="1"/>
    <xf numFmtId="0" fontId="5" fillId="3" borderId="18" xfId="0" applyFont="1" applyFill="1" applyBorder="1" applyAlignment="1">
      <alignment wrapText="1"/>
    </xf>
    <xf numFmtId="0" fontId="0" fillId="0" borderId="16" xfId="0" applyBorder="1" applyAlignment="1">
      <alignment horizontal="left" wrapText="1"/>
    </xf>
    <xf numFmtId="0" fontId="5" fillId="3" borderId="16" xfId="0" applyFont="1" applyFill="1" applyBorder="1"/>
    <xf numFmtId="43" fontId="5" fillId="3" borderId="8" xfId="0" applyNumberFormat="1" applyFont="1" applyFill="1" applyBorder="1"/>
    <xf numFmtId="43" fontId="21" fillId="0" borderId="8" xfId="1" applyFont="1" applyBorder="1"/>
    <xf numFmtId="43" fontId="22" fillId="0" borderId="18" xfId="1" applyFont="1" applyBorder="1"/>
    <xf numFmtId="43" fontId="21" fillId="0" borderId="16" xfId="1" applyFont="1" applyBorder="1"/>
    <xf numFmtId="43" fontId="22" fillId="0" borderId="19" xfId="0" applyNumberFormat="1" applyFont="1" applyBorder="1"/>
    <xf numFmtId="43" fontId="21" fillId="0" borderId="16" xfId="2" applyNumberFormat="1" applyFont="1" applyBorder="1"/>
    <xf numFmtId="43" fontId="22" fillId="0" borderId="18" xfId="0" applyNumberFormat="1" applyFont="1" applyBorder="1"/>
    <xf numFmtId="43" fontId="21" fillId="0" borderId="18" xfId="1" applyFont="1" applyBorder="1"/>
    <xf numFmtId="43" fontId="30" fillId="0" borderId="19" xfId="1" applyFont="1" applyBorder="1" applyAlignment="1">
      <alignment horizontal="left"/>
    </xf>
    <xf numFmtId="0" fontId="5" fillId="3" borderId="9" xfId="0" applyFont="1" applyFill="1" applyBorder="1"/>
    <xf numFmtId="10" fontId="5" fillId="3" borderId="10" xfId="0" applyNumberFormat="1" applyFont="1" applyFill="1" applyBorder="1"/>
    <xf numFmtId="0" fontId="5" fillId="3" borderId="1" xfId="0" applyFont="1" applyFill="1" applyBorder="1" applyAlignment="1">
      <alignment horizontal="left"/>
    </xf>
    <xf numFmtId="43" fontId="5" fillId="3" borderId="1" xfId="0" applyNumberFormat="1" applyFont="1" applyFill="1" applyBorder="1"/>
    <xf numFmtId="43" fontId="0" fillId="0" borderId="0" xfId="1" applyFont="1" applyBorder="1"/>
    <xf numFmtId="43" fontId="0" fillId="0" borderId="12" xfId="1" applyFont="1" applyBorder="1"/>
    <xf numFmtId="43" fontId="0" fillId="18" borderId="0" xfId="1" applyFont="1" applyFill="1" applyBorder="1"/>
    <xf numFmtId="43" fontId="0" fillId="0" borderId="1" xfId="1" applyFont="1" applyBorder="1"/>
    <xf numFmtId="43" fontId="0" fillId="0" borderId="14" xfId="1" applyFont="1" applyBorder="1"/>
    <xf numFmtId="9" fontId="22" fillId="0" borderId="18" xfId="0" applyNumberFormat="1" applyFont="1" applyBorder="1"/>
    <xf numFmtId="10" fontId="22" fillId="18" borderId="18" xfId="0" applyNumberFormat="1" applyFont="1" applyFill="1" applyBorder="1"/>
    <xf numFmtId="9" fontId="22" fillId="0" borderId="16" xfId="0" applyNumberFormat="1" applyFont="1" applyBorder="1"/>
    <xf numFmtId="9" fontId="22" fillId="0" borderId="4" xfId="0" applyNumberFormat="1" applyFont="1" applyBorder="1"/>
    <xf numFmtId="10" fontId="22" fillId="18" borderId="4" xfId="0" applyNumberFormat="1" applyFont="1" applyFill="1" applyBorder="1"/>
    <xf numFmtId="9" fontId="22" fillId="0" borderId="10" xfId="0" applyNumberFormat="1" applyFont="1" applyBorder="1"/>
    <xf numFmtId="0" fontId="5" fillId="3" borderId="1" xfId="0" applyFont="1" applyFill="1" applyBorder="1"/>
    <xf numFmtId="10" fontId="5" fillId="3" borderId="1" xfId="0" applyNumberFormat="1" applyFont="1" applyFill="1" applyBorder="1"/>
    <xf numFmtId="0" fontId="23" fillId="17" borderId="1" xfId="0" applyFont="1" applyFill="1" applyBorder="1" applyAlignment="1">
      <alignment horizontal="left"/>
    </xf>
    <xf numFmtId="0" fontId="6" fillId="17" borderId="0" xfId="0" applyFont="1" applyFill="1"/>
    <xf numFmtId="43" fontId="4" fillId="12" borderId="14" xfId="0" applyNumberFormat="1" applyFont="1" applyFill="1" applyBorder="1"/>
    <xf numFmtId="3" fontId="10" fillId="0" borderId="0" xfId="0" applyNumberFormat="1" applyFont="1"/>
    <xf numFmtId="0" fontId="0" fillId="0" borderId="12" xfId="0" applyBorder="1" applyAlignment="1">
      <alignment horizontal="center" vertical="center" textRotation="90"/>
    </xf>
    <xf numFmtId="17" fontId="34" fillId="6" borderId="0" xfId="0" applyNumberFormat="1" applyFont="1" applyFill="1" applyAlignment="1">
      <alignment horizontal="center"/>
    </xf>
    <xf numFmtId="164" fontId="11" fillId="11" borderId="11" xfId="0" applyNumberFormat="1" applyFont="1" applyFill="1" applyBorder="1" applyAlignment="1">
      <alignment horizontal="center"/>
    </xf>
    <xf numFmtId="164" fontId="11" fillId="11" borderId="13" xfId="0" applyNumberFormat="1" applyFont="1" applyFill="1" applyBorder="1" applyAlignment="1">
      <alignment horizontal="center"/>
    </xf>
    <xf numFmtId="164" fontId="11" fillId="11" borderId="2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43" fillId="17" borderId="0" xfId="1" applyFont="1" applyFill="1" applyBorder="1" applyAlignment="1">
      <alignment horizontal="center"/>
    </xf>
    <xf numFmtId="43" fontId="47" fillId="17" borderId="0" xfId="1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40" fillId="14" borderId="0" xfId="0" applyFont="1" applyFill="1" applyAlignment="1">
      <alignment horizontal="center"/>
    </xf>
    <xf numFmtId="43" fontId="9" fillId="0" borderId="0" xfId="4" applyNumberFormat="1" applyFont="1" applyBorder="1" applyAlignment="1" applyProtection="1">
      <alignment horizontal="center"/>
    </xf>
    <xf numFmtId="43" fontId="11" fillId="4" borderId="0" xfId="3" applyNumberFormat="1" applyFont="1" applyBorder="1" applyAlignment="1">
      <alignment horizontal="center"/>
    </xf>
    <xf numFmtId="17" fontId="17" fillId="6" borderId="0" xfId="0" applyNumberFormat="1" applyFont="1" applyFill="1" applyAlignment="1">
      <alignment horizontal="center"/>
    </xf>
  </cellXfs>
  <cellStyles count="6">
    <cellStyle name="Accent6" xfId="3" builtinId="49"/>
    <cellStyle name="Comma" xfId="1" builtinId="3"/>
    <cellStyle name="Comma 2" xfId="5" xr:uid="{30D22055-896D-4B4D-A006-F42D8B9A1109}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1" defaultTableStyle="TableStyleMedium2" defaultPivotStyle="PivotStyleLight16">
    <tableStyle name="Invisible" pivot="0" table="0" count="0" xr9:uid="{15E8E06F-A4E4-4D3F-B19A-464ADDD71B10}"/>
  </tableStyles>
  <colors>
    <mruColors>
      <color rgb="FF12506C"/>
      <color rgb="FF045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0669A5-3FDF-407A-BFCF-39279E800A75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eycontrol.com/india/stockpricequote/retail/avenuesupermarts/AS19" TargetMode="External"/><Relationship Id="rId2" Type="http://schemas.openxmlformats.org/officeDocument/2006/relationships/hyperlink" Target="https://pages.stern.nyu.edu/~adamodar/" TargetMode="External"/><Relationship Id="rId1" Type="http://schemas.openxmlformats.org/officeDocument/2006/relationships/hyperlink" Target="https://in.investing.com/rates-bonds/india-10-year-bond-yield-historical-data" TargetMode="External"/><Relationship Id="rId6" Type="http://schemas.openxmlformats.org/officeDocument/2006/relationships/hyperlink" Target="https://www.screener.in/company/DMART/consolidated/" TargetMode="External"/><Relationship Id="rId5" Type="http://schemas.openxmlformats.org/officeDocument/2006/relationships/hyperlink" Target="https://www.screener.in/company/DMART/consolidated/" TargetMode="External"/><Relationship Id="rId4" Type="http://schemas.openxmlformats.org/officeDocument/2006/relationships/hyperlink" Target="https://pages.stern.nyu.edu/~adamoda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8F7B-F353-4ED5-A041-C3EC8A20B962}">
  <dimension ref="A4:E15"/>
  <sheetViews>
    <sheetView showGridLines="0" workbookViewId="0">
      <selection activeCell="A9" sqref="A9"/>
    </sheetView>
  </sheetViews>
  <sheetFormatPr defaultRowHeight="14.4" x14ac:dyDescent="0.3"/>
  <cols>
    <col min="1" max="1" width="23.21875" customWidth="1"/>
  </cols>
  <sheetData>
    <row r="4" spans="1:5" ht="15.6" x14ac:dyDescent="0.3">
      <c r="A4" s="237" t="s">
        <v>202</v>
      </c>
      <c r="B4" s="237"/>
      <c r="C4" s="237"/>
      <c r="D4" s="237"/>
      <c r="E4" s="237"/>
    </row>
    <row r="6" spans="1:5" ht="21" x14ac:dyDescent="0.4">
      <c r="A6" s="189"/>
    </row>
    <row r="7" spans="1:5" ht="21" x14ac:dyDescent="0.4">
      <c r="A7" s="190" t="s">
        <v>199</v>
      </c>
    </row>
    <row r="8" spans="1:5" ht="21" x14ac:dyDescent="0.4">
      <c r="A8" s="190" t="s">
        <v>200</v>
      </c>
    </row>
    <row r="9" spans="1:5" ht="21" x14ac:dyDescent="0.4">
      <c r="A9" s="190" t="s">
        <v>201</v>
      </c>
    </row>
    <row r="15" spans="1:5" x14ac:dyDescent="0.3">
      <c r="A15" s="191" t="s">
        <v>203</v>
      </c>
    </row>
  </sheetData>
  <sheetProtection sheet="1" objects="1" scenarios="1"/>
  <mergeCells count="1">
    <mergeCell ref="A4:E4"/>
  </mergeCells>
  <hyperlinks>
    <hyperlink ref="A7" location="DCF!A1" display="DCF calculation" xr:uid="{FE496EA9-A534-4B77-A2BC-7229C08F9E5E}"/>
    <hyperlink ref="A8" location="WACC!A1" display="WACC calculation" xr:uid="{3657AF42-458E-4BC1-AA79-01B2BB8FA650}"/>
    <hyperlink ref="A9" location="'Historical fin satements'!A1" display="Historical Financial statements and growth " xr:uid="{9DF61BAF-35B0-4F28-8625-A925CA2358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B651-7A81-4AF7-92FB-547B0DD02559}">
  <dimension ref="A1:X42"/>
  <sheetViews>
    <sheetView showGridLines="0" tabSelected="1" topLeftCell="A16" zoomScale="85" zoomScaleNormal="85" workbookViewId="0">
      <selection activeCell="H45" sqref="H45"/>
    </sheetView>
  </sheetViews>
  <sheetFormatPr defaultRowHeight="14.4" x14ac:dyDescent="0.3"/>
  <cols>
    <col min="1" max="1" width="40" bestFit="1" customWidth="1"/>
    <col min="2" max="2" width="12.44140625" bestFit="1" customWidth="1"/>
    <col min="3" max="3" width="14" customWidth="1"/>
    <col min="4" max="4" width="10.44140625" bestFit="1" customWidth="1"/>
    <col min="5" max="7" width="11.6640625" bestFit="1" customWidth="1"/>
    <col min="8" max="8" width="7" customWidth="1"/>
    <col min="9" max="9" width="25.109375" customWidth="1"/>
    <col min="10" max="14" width="11.6640625" bestFit="1" customWidth="1"/>
    <col min="15" max="19" width="10.33203125" bestFit="1" customWidth="1"/>
    <col min="20" max="20" width="10" bestFit="1" customWidth="1"/>
    <col min="21" max="24" width="10.21875" bestFit="1" customWidth="1"/>
  </cols>
  <sheetData>
    <row r="1" spans="1:24" x14ac:dyDescent="0.3">
      <c r="A1" s="236" t="s">
        <v>202</v>
      </c>
      <c r="B1" s="236"/>
      <c r="C1" s="236"/>
      <c r="D1" s="236"/>
      <c r="E1" s="236"/>
      <c r="F1" s="236"/>
      <c r="G1" s="236"/>
      <c r="J1" s="231" t="s">
        <v>148</v>
      </c>
      <c r="K1" s="231"/>
      <c r="L1" s="231"/>
      <c r="M1" s="231"/>
      <c r="N1" s="231"/>
      <c r="O1" s="231"/>
      <c r="P1" s="231"/>
      <c r="Q1" s="231"/>
      <c r="R1" s="231"/>
      <c r="S1" s="231"/>
      <c r="T1" s="232" t="s">
        <v>128</v>
      </c>
      <c r="U1" s="232"/>
      <c r="V1" s="232"/>
      <c r="W1" s="232"/>
      <c r="X1" s="233"/>
    </row>
    <row r="2" spans="1:24" ht="15.6" x14ac:dyDescent="0.3">
      <c r="A2" s="188"/>
      <c r="B2" s="235" t="s">
        <v>198</v>
      </c>
      <c r="C2" s="235"/>
      <c r="D2" s="235"/>
      <c r="E2" s="235"/>
      <c r="F2" s="235"/>
      <c r="G2" s="235"/>
      <c r="I2" s="96" t="s">
        <v>140</v>
      </c>
      <c r="J2" s="97">
        <v>42430</v>
      </c>
      <c r="K2" s="97">
        <v>42795</v>
      </c>
      <c r="L2" s="97">
        <v>43160</v>
      </c>
      <c r="M2" s="97">
        <v>43525</v>
      </c>
      <c r="N2" s="97">
        <v>43891</v>
      </c>
      <c r="O2" s="97">
        <v>44256</v>
      </c>
      <c r="P2" s="97">
        <v>44621</v>
      </c>
      <c r="Q2" s="97">
        <v>44986</v>
      </c>
      <c r="R2" s="97">
        <v>45352</v>
      </c>
      <c r="S2" s="97">
        <v>45717</v>
      </c>
      <c r="T2" s="67">
        <v>46112</v>
      </c>
      <c r="U2" s="67">
        <v>46477</v>
      </c>
      <c r="V2" s="67">
        <v>46843</v>
      </c>
      <c r="W2" s="67">
        <v>47208</v>
      </c>
      <c r="X2" s="68">
        <v>47573</v>
      </c>
    </row>
    <row r="3" spans="1:24" x14ac:dyDescent="0.3">
      <c r="A3" s="66"/>
      <c r="B3" s="80" t="s">
        <v>127</v>
      </c>
      <c r="C3" s="234" t="s">
        <v>128</v>
      </c>
      <c r="D3" s="232"/>
      <c r="E3" s="232"/>
      <c r="F3" s="232"/>
      <c r="G3" s="233"/>
      <c r="I3" s="208" t="s">
        <v>1</v>
      </c>
      <c r="J3" s="64">
        <v>98.43</v>
      </c>
      <c r="K3" s="64">
        <v>127.82</v>
      </c>
      <c r="L3" s="64">
        <v>159</v>
      </c>
      <c r="M3" s="64">
        <v>212.49</v>
      </c>
      <c r="N3" s="64">
        <v>374.41</v>
      </c>
      <c r="O3" s="64">
        <v>414.16</v>
      </c>
      <c r="P3" s="64">
        <v>498.08</v>
      </c>
      <c r="Q3" s="64">
        <v>638.87</v>
      </c>
      <c r="R3" s="64">
        <v>730.76</v>
      </c>
      <c r="S3" s="64">
        <v>869.52</v>
      </c>
      <c r="T3" s="132">
        <f>T4*$J$7</f>
        <v>1071.4202322216515</v>
      </c>
      <c r="U3" s="132">
        <f>U4*$J$7</f>
        <v>1318.5529791954139</v>
      </c>
      <c r="V3" s="132">
        <f>V4*$J$7</f>
        <v>1622.6891248264478</v>
      </c>
      <c r="W3" s="132">
        <f>W4*$J$7</f>
        <v>1996.977017515643</v>
      </c>
      <c r="X3" s="132">
        <f>X4*$J$7</f>
        <v>2457.5977908967584</v>
      </c>
    </row>
    <row r="4" spans="1:24" x14ac:dyDescent="0.3">
      <c r="A4" s="72" t="s">
        <v>129</v>
      </c>
      <c r="B4" s="81">
        <v>45747</v>
      </c>
      <c r="C4" s="67">
        <v>46112</v>
      </c>
      <c r="D4" s="67">
        <v>46477</v>
      </c>
      <c r="E4" s="67">
        <v>46843</v>
      </c>
      <c r="F4" s="67">
        <v>47208</v>
      </c>
      <c r="G4" s="68">
        <v>47573</v>
      </c>
      <c r="I4" s="134" t="s">
        <v>34</v>
      </c>
      <c r="J4" s="98">
        <v>2094</v>
      </c>
      <c r="K4" s="99">
        <v>2577</v>
      </c>
      <c r="L4" s="99">
        <v>3400</v>
      </c>
      <c r="M4" s="99">
        <v>4401</v>
      </c>
      <c r="N4" s="99">
        <v>5948</v>
      </c>
      <c r="O4" s="99">
        <v>7009</v>
      </c>
      <c r="P4" s="99">
        <v>9260</v>
      </c>
      <c r="Q4" s="99">
        <v>11340</v>
      </c>
      <c r="R4" s="99">
        <v>13415</v>
      </c>
      <c r="S4" s="99">
        <v>16206</v>
      </c>
      <c r="T4" s="132">
        <f>S4*(1+$J$8)</f>
        <v>19944.060171919773</v>
      </c>
      <c r="U4" s="132">
        <f>T4*(1+$J$8)</f>
        <v>24544.337661431357</v>
      </c>
      <c r="V4" s="132">
        <f>U4*(1+$J$8)</f>
        <v>30205.710675027989</v>
      </c>
      <c r="W4" s="132">
        <f>V4*(1+$J$8)</f>
        <v>37172.930472563101</v>
      </c>
      <c r="X4" s="132">
        <f>W4*(1+$J$8)</f>
        <v>45747.202401048293</v>
      </c>
    </row>
    <row r="5" spans="1:24" x14ac:dyDescent="0.3">
      <c r="A5" s="66"/>
      <c r="B5" s="66"/>
      <c r="C5">
        <v>0.5</v>
      </c>
      <c r="D5">
        <f>C5+1</f>
        <v>1.5</v>
      </c>
      <c r="E5">
        <f>D5+1</f>
        <v>2.5</v>
      </c>
      <c r="F5">
        <f>E5+1</f>
        <v>3.5</v>
      </c>
      <c r="G5" s="139">
        <f>F5+1</f>
        <v>4.5</v>
      </c>
      <c r="I5" s="133" t="s">
        <v>159</v>
      </c>
      <c r="J5" s="101"/>
      <c r="K5" s="131">
        <f>K4/J4-1</f>
        <v>0.23065902578796571</v>
      </c>
      <c r="L5" s="131">
        <f t="shared" ref="L5:S5" si="0">L4/K4-1</f>
        <v>0.31936360108653483</v>
      </c>
      <c r="M5" s="131">
        <f t="shared" si="0"/>
        <v>0.29441176470588237</v>
      </c>
      <c r="N5" s="131">
        <f t="shared" si="0"/>
        <v>0.35151102022267677</v>
      </c>
      <c r="O5" s="131">
        <f t="shared" si="0"/>
        <v>0.17837928715534623</v>
      </c>
      <c r="P5" s="131">
        <f t="shared" si="0"/>
        <v>0.32115851048651733</v>
      </c>
      <c r="Q5" s="131">
        <f t="shared" si="0"/>
        <v>0.22462203023758098</v>
      </c>
      <c r="R5" s="131">
        <f t="shared" si="0"/>
        <v>0.18298059964726621</v>
      </c>
      <c r="S5" s="138">
        <f t="shared" si="0"/>
        <v>0.20805068952664918</v>
      </c>
    </row>
    <row r="6" spans="1:24" ht="28.8" x14ac:dyDescent="0.3">
      <c r="A6" s="197" t="s">
        <v>208</v>
      </c>
      <c r="B6" s="82"/>
      <c r="C6" s="185">
        <v>0.25</v>
      </c>
      <c r="D6" s="185">
        <v>0.22</v>
      </c>
      <c r="E6" s="185">
        <v>0.2</v>
      </c>
      <c r="F6" s="185">
        <v>0.18</v>
      </c>
      <c r="G6" s="69">
        <v>0.17</v>
      </c>
      <c r="I6" s="135" t="s">
        <v>139</v>
      </c>
      <c r="J6" s="102">
        <f>J3/J4</f>
        <v>4.7005730659025788E-2</v>
      </c>
      <c r="K6" s="103">
        <f>K3/K4</f>
        <v>4.9600310438494367E-2</v>
      </c>
      <c r="L6" s="103">
        <f t="shared" ref="L6:S6" si="1">L3/L4</f>
        <v>4.6764705882352944E-2</v>
      </c>
      <c r="M6" s="103">
        <f t="shared" si="1"/>
        <v>4.8282208588957057E-2</v>
      </c>
      <c r="N6" s="103">
        <f t="shared" si="1"/>
        <v>6.294720914593141E-2</v>
      </c>
      <c r="O6" s="103">
        <f t="shared" si="1"/>
        <v>5.9089741760593527E-2</v>
      </c>
      <c r="P6" s="103">
        <f t="shared" si="1"/>
        <v>5.3788336933045355E-2</v>
      </c>
      <c r="Q6" s="103">
        <f t="shared" si="1"/>
        <v>5.633774250440917E-2</v>
      </c>
      <c r="R6" s="103">
        <f t="shared" si="1"/>
        <v>5.4473350726798361E-2</v>
      </c>
      <c r="S6" s="103">
        <f t="shared" si="1"/>
        <v>5.3654202147352829E-2</v>
      </c>
      <c r="T6" s="1"/>
      <c r="U6" s="1"/>
      <c r="V6" s="1"/>
      <c r="W6" s="1"/>
      <c r="X6" s="1"/>
    </row>
    <row r="7" spans="1:24" x14ac:dyDescent="0.3">
      <c r="A7" s="61" t="s">
        <v>16</v>
      </c>
      <c r="B7" s="201">
        <f>'Historical fin satements'!K4</f>
        <v>59358</v>
      </c>
      <c r="C7" s="186">
        <f>B7*(1+C6)</f>
        <v>74197.5</v>
      </c>
      <c r="D7" s="186">
        <f>C7*(1+D6)</f>
        <v>90520.95</v>
      </c>
      <c r="E7" s="186">
        <f>D7*(1+E6)</f>
        <v>108625.14</v>
      </c>
      <c r="F7" s="186">
        <f>E7*(1+F6)</f>
        <v>128177.66519999999</v>
      </c>
      <c r="G7" s="187">
        <f>F7*(1+G6)</f>
        <v>149967.86828399997</v>
      </c>
      <c r="I7" s="136" t="s">
        <v>158</v>
      </c>
      <c r="J7" s="137">
        <f>MEDIAN(J6:S6)</f>
        <v>5.3721269540199096E-2</v>
      </c>
      <c r="L7" s="95"/>
      <c r="M7" s="95"/>
      <c r="N7" s="95"/>
      <c r="O7" s="95"/>
      <c r="P7" s="95"/>
      <c r="Q7" s="95"/>
      <c r="R7" s="95"/>
      <c r="S7" s="95"/>
    </row>
    <row r="8" spans="1:24" x14ac:dyDescent="0.3">
      <c r="A8" s="72" t="s">
        <v>126</v>
      </c>
      <c r="B8" s="202">
        <f>'Historical fin satements'!K12</f>
        <v>4494.4599999999973</v>
      </c>
      <c r="C8" s="56">
        <f>C7*7.5%</f>
        <v>5564.8125</v>
      </c>
      <c r="D8" s="56">
        <f>D7*8%</f>
        <v>7241.6759999999995</v>
      </c>
      <c r="E8" s="56">
        <f>E7*8%</f>
        <v>8690.0112000000008</v>
      </c>
      <c r="F8" s="56">
        <f>F7*8%</f>
        <v>10254.213216</v>
      </c>
      <c r="G8" s="71">
        <f>G7*8%</f>
        <v>11997.429462719998</v>
      </c>
      <c r="I8" s="136" t="s">
        <v>160</v>
      </c>
      <c r="J8" s="137">
        <f>MEDIAN(K5:S5)</f>
        <v>0.23065902578796571</v>
      </c>
      <c r="K8" s="95"/>
      <c r="L8" s="95"/>
      <c r="M8" s="95"/>
      <c r="N8" s="95"/>
      <c r="O8" s="95"/>
      <c r="P8" s="95"/>
      <c r="Q8" s="95"/>
      <c r="R8" s="95"/>
      <c r="S8" s="95"/>
    </row>
    <row r="9" spans="1:24" ht="30" customHeight="1" x14ac:dyDescent="0.3">
      <c r="A9" s="198" t="s">
        <v>211</v>
      </c>
      <c r="B9" s="203">
        <f>'Historical fin satements'!K14</f>
        <v>869.52</v>
      </c>
      <c r="C9" s="57">
        <f>T3</f>
        <v>1071.4202322216515</v>
      </c>
      <c r="D9" s="57">
        <f>U3</f>
        <v>1318.5529791954139</v>
      </c>
      <c r="E9" s="57">
        <f>V3</f>
        <v>1622.6891248264478</v>
      </c>
      <c r="F9" s="57">
        <f>W3</f>
        <v>1996.977017515643</v>
      </c>
      <c r="G9" s="74">
        <f>X3</f>
        <v>2457.5977908967584</v>
      </c>
    </row>
    <row r="10" spans="1:24" x14ac:dyDescent="0.3">
      <c r="A10" s="66" t="s">
        <v>0</v>
      </c>
      <c r="B10" s="204">
        <f t="shared" ref="B10:G10" si="2">B8-B9</f>
        <v>3624.9399999999973</v>
      </c>
      <c r="C10" s="56">
        <f t="shared" si="2"/>
        <v>4493.3922677783485</v>
      </c>
      <c r="D10" s="56">
        <f t="shared" si="2"/>
        <v>5923.1230208045854</v>
      </c>
      <c r="E10" s="56">
        <f t="shared" si="2"/>
        <v>7067.3220751735535</v>
      </c>
      <c r="F10" s="56">
        <f t="shared" si="2"/>
        <v>8257.2361984843574</v>
      </c>
      <c r="G10" s="71">
        <f t="shared" si="2"/>
        <v>9539.83167182324</v>
      </c>
      <c r="I10" s="106" t="s">
        <v>77</v>
      </c>
      <c r="J10" s="107">
        <v>-69</v>
      </c>
      <c r="K10" s="107">
        <v>-270</v>
      </c>
      <c r="L10" s="107">
        <v>-243</v>
      </c>
      <c r="M10" s="107">
        <v>-351</v>
      </c>
      <c r="N10" s="107">
        <v>-376</v>
      </c>
      <c r="O10" s="107">
        <v>-127</v>
      </c>
      <c r="P10" s="107">
        <v>-582</v>
      </c>
      <c r="Q10" s="107">
        <v>-320</v>
      </c>
      <c r="R10" s="107">
        <v>-644</v>
      </c>
      <c r="S10" s="107">
        <v>-1113</v>
      </c>
    </row>
    <row r="11" spans="1:24" x14ac:dyDescent="0.3">
      <c r="A11" s="73" t="s">
        <v>212</v>
      </c>
      <c r="B11" s="205">
        <f t="shared" ref="B11:G11" si="3">26%*B10</f>
        <v>942.48439999999937</v>
      </c>
      <c r="C11" s="58">
        <f t="shared" si="3"/>
        <v>1168.2819896223707</v>
      </c>
      <c r="D11" s="58">
        <f t="shared" si="3"/>
        <v>1540.0119854091922</v>
      </c>
      <c r="E11" s="58">
        <f t="shared" si="3"/>
        <v>1837.5037395451241</v>
      </c>
      <c r="F11" s="58">
        <f t="shared" si="3"/>
        <v>2146.881411605933</v>
      </c>
      <c r="G11" s="75">
        <f t="shared" si="3"/>
        <v>2480.3562346740423</v>
      </c>
      <c r="I11" s="100" t="s">
        <v>16</v>
      </c>
      <c r="J11" s="108">
        <v>8584</v>
      </c>
      <c r="K11" s="109">
        <v>11898</v>
      </c>
      <c r="L11" s="109">
        <v>15033</v>
      </c>
      <c r="M11" s="109">
        <v>20005</v>
      </c>
      <c r="N11" s="109">
        <v>24870</v>
      </c>
      <c r="O11" s="109">
        <v>24143</v>
      </c>
      <c r="P11" s="109">
        <v>30976</v>
      </c>
      <c r="Q11" s="109">
        <v>42840</v>
      </c>
      <c r="R11" s="109">
        <v>50789</v>
      </c>
      <c r="S11" s="109">
        <v>59358</v>
      </c>
    </row>
    <row r="12" spans="1:24" x14ac:dyDescent="0.3">
      <c r="A12" s="66" t="s">
        <v>157</v>
      </c>
      <c r="B12" s="206">
        <f t="shared" ref="B12:G12" si="4">B10-B11</f>
        <v>2682.455599999998</v>
      </c>
      <c r="C12" s="76">
        <f t="shared" si="4"/>
        <v>3325.1102781559775</v>
      </c>
      <c r="D12" s="76">
        <f t="shared" si="4"/>
        <v>4383.1110353953936</v>
      </c>
      <c r="E12" s="76">
        <f t="shared" si="4"/>
        <v>5229.8183356284298</v>
      </c>
      <c r="F12" s="76">
        <f t="shared" si="4"/>
        <v>6110.3547868784244</v>
      </c>
      <c r="G12" s="77">
        <f t="shared" si="4"/>
        <v>7059.4754371491981</v>
      </c>
      <c r="I12" s="94" t="s">
        <v>138</v>
      </c>
      <c r="J12" s="102">
        <f>J10/J11</f>
        <v>-8.0382106244175217E-3</v>
      </c>
      <c r="K12" s="103">
        <f t="shared" ref="K12:S12" si="5">K10/K11</f>
        <v>-2.2692889561270801E-2</v>
      </c>
      <c r="L12" s="103">
        <f>L10/L11</f>
        <v>-1.6164438235881061E-2</v>
      </c>
      <c r="M12" s="103">
        <f t="shared" si="5"/>
        <v>-1.754561359660085E-2</v>
      </c>
      <c r="N12" s="103">
        <f t="shared" si="5"/>
        <v>-1.5118616807398472E-2</v>
      </c>
      <c r="O12" s="103">
        <f t="shared" si="5"/>
        <v>-5.2603239034088554E-3</v>
      </c>
      <c r="P12" s="103">
        <f t="shared" si="5"/>
        <v>-1.8788739669421489E-2</v>
      </c>
      <c r="Q12" s="103">
        <f t="shared" si="5"/>
        <v>-7.4696545284780582E-3</v>
      </c>
      <c r="R12" s="103">
        <f t="shared" si="5"/>
        <v>-1.2679911004351336E-2</v>
      </c>
      <c r="S12" s="103">
        <f t="shared" si="5"/>
        <v>-1.8750631759830182E-2</v>
      </c>
    </row>
    <row r="13" spans="1:24" x14ac:dyDescent="0.3">
      <c r="A13" s="73" t="s">
        <v>213</v>
      </c>
      <c r="B13" s="205">
        <f>B9</f>
        <v>869.52</v>
      </c>
      <c r="C13" s="59">
        <f t="shared" ref="C13:G13" si="6">C9</f>
        <v>1071.4202322216515</v>
      </c>
      <c r="D13" s="59">
        <f t="shared" si="6"/>
        <v>1318.5529791954139</v>
      </c>
      <c r="E13" s="59">
        <f t="shared" si="6"/>
        <v>1622.6891248264478</v>
      </c>
      <c r="F13" s="59">
        <f t="shared" si="6"/>
        <v>1996.977017515643</v>
      </c>
      <c r="G13" s="78">
        <f t="shared" si="6"/>
        <v>2457.5977908967584</v>
      </c>
      <c r="I13" s="104" t="s">
        <v>137</v>
      </c>
      <c r="J13" s="105">
        <f>-MEDIAN(J12:S12)</f>
        <v>1.5641527521639768E-2</v>
      </c>
      <c r="K13" s="95"/>
      <c r="L13" s="95"/>
      <c r="M13" s="95"/>
      <c r="N13" s="95"/>
      <c r="O13" s="95"/>
      <c r="P13" s="95"/>
      <c r="Q13" s="95"/>
      <c r="R13" s="95"/>
      <c r="S13" s="95"/>
    </row>
    <row r="14" spans="1:24" x14ac:dyDescent="0.3">
      <c r="A14" s="70" t="s">
        <v>130</v>
      </c>
      <c r="B14" s="206">
        <f>B12+B13</f>
        <v>3551.9755999999979</v>
      </c>
      <c r="C14" s="76">
        <f t="shared" ref="C14:G14" si="7">C12+C13</f>
        <v>4396.5305103776291</v>
      </c>
      <c r="D14" s="76">
        <f t="shared" si="7"/>
        <v>5701.6640145908077</v>
      </c>
      <c r="E14" s="76">
        <f t="shared" si="7"/>
        <v>6852.5074604548772</v>
      </c>
      <c r="F14" s="76">
        <f t="shared" si="7"/>
        <v>8107.3318043940671</v>
      </c>
      <c r="G14" s="77">
        <f t="shared" si="7"/>
        <v>9517.0732280459561</v>
      </c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</row>
    <row r="15" spans="1:24" x14ac:dyDescent="0.3">
      <c r="A15" s="66" t="s">
        <v>214</v>
      </c>
      <c r="B15" s="207">
        <f>S18-S10</f>
        <v>4542</v>
      </c>
      <c r="C15" s="56">
        <f>C14*80%</f>
        <v>3517.2244083021033</v>
      </c>
      <c r="D15" s="56">
        <f>D14*80%</f>
        <v>4561.3312116726465</v>
      </c>
      <c r="E15" s="56">
        <f>E14*70%</f>
        <v>4796.7552223184139</v>
      </c>
      <c r="F15" s="56">
        <f>F14*50%</f>
        <v>4053.6659021970336</v>
      </c>
      <c r="G15" s="71">
        <f>G14*50%</f>
        <v>4758.536614022978</v>
      </c>
      <c r="I15" s="95"/>
      <c r="J15" s="231" t="s">
        <v>148</v>
      </c>
      <c r="K15" s="231"/>
      <c r="L15" s="231"/>
      <c r="M15" s="231"/>
      <c r="N15" s="231"/>
      <c r="O15" s="231"/>
      <c r="P15" s="231"/>
      <c r="Q15" s="231"/>
      <c r="R15" s="231"/>
      <c r="S15" s="231"/>
    </row>
    <row r="16" spans="1:24" x14ac:dyDescent="0.3">
      <c r="A16" s="73" t="s">
        <v>215</v>
      </c>
      <c r="B16" s="205"/>
      <c r="C16" s="57"/>
      <c r="D16" s="57"/>
      <c r="E16" s="57"/>
      <c r="F16" s="57"/>
      <c r="G16" s="74"/>
      <c r="I16" s="95"/>
      <c r="J16" s="97">
        <v>42430</v>
      </c>
      <c r="K16" s="97">
        <v>42795</v>
      </c>
      <c r="L16" s="97">
        <v>43160</v>
      </c>
      <c r="M16" s="97">
        <v>43525</v>
      </c>
      <c r="N16" s="97">
        <v>43891</v>
      </c>
      <c r="O16" s="97">
        <v>44256</v>
      </c>
      <c r="P16" s="97">
        <v>44621</v>
      </c>
      <c r="Q16" s="97">
        <v>44986</v>
      </c>
      <c r="R16" s="97">
        <v>45352</v>
      </c>
      <c r="S16" s="97">
        <v>45717</v>
      </c>
    </row>
    <row r="17" spans="1:19" x14ac:dyDescent="0.3">
      <c r="A17" s="61" t="s">
        <v>131</v>
      </c>
      <c r="B17" s="205">
        <f t="shared" ref="B17:G17" si="8">B14-B15</f>
        <v>-990.02440000000206</v>
      </c>
      <c r="C17" s="60">
        <f t="shared" si="8"/>
        <v>879.30610207552581</v>
      </c>
      <c r="D17" s="60">
        <f t="shared" si="8"/>
        <v>1140.3328029181612</v>
      </c>
      <c r="E17" s="60">
        <f t="shared" si="8"/>
        <v>2055.7522381364633</v>
      </c>
      <c r="F17" s="60">
        <f t="shared" si="8"/>
        <v>4053.6659021970336</v>
      </c>
      <c r="G17" s="79">
        <f t="shared" si="8"/>
        <v>4758.536614022978</v>
      </c>
      <c r="I17" s="121" t="s">
        <v>16</v>
      </c>
      <c r="J17" s="3">
        <v>8583.76</v>
      </c>
      <c r="K17" s="3">
        <v>11897.7</v>
      </c>
      <c r="L17" s="3">
        <v>15033.2</v>
      </c>
      <c r="M17" s="3">
        <v>20004.52</v>
      </c>
      <c r="N17" s="3">
        <v>24870.2</v>
      </c>
      <c r="O17" s="3">
        <v>24143.06</v>
      </c>
      <c r="P17" s="3">
        <v>30976.27</v>
      </c>
      <c r="Q17" s="3">
        <v>42839.56</v>
      </c>
      <c r="R17" s="3">
        <v>50788.83</v>
      </c>
      <c r="S17" s="3">
        <v>59358.05</v>
      </c>
    </row>
    <row r="18" spans="1:19" x14ac:dyDescent="0.3">
      <c r="A18" s="65" t="s">
        <v>150</v>
      </c>
      <c r="B18" s="45"/>
      <c r="C18" s="45">
        <f>$B$22</f>
        <v>0.1174</v>
      </c>
      <c r="D18" s="45">
        <f t="shared" ref="D18:F18" si="9">$B$22</f>
        <v>0.1174</v>
      </c>
      <c r="E18" s="45">
        <f t="shared" si="9"/>
        <v>0.1174</v>
      </c>
      <c r="F18" s="45">
        <f t="shared" si="9"/>
        <v>0.1174</v>
      </c>
      <c r="G18" s="45">
        <f t="shared" ref="G18" si="10">$B$22</f>
        <v>0.1174</v>
      </c>
      <c r="I18" s="122" t="s">
        <v>132</v>
      </c>
      <c r="J18" s="92">
        <f>-'Raw cashflow'!D14+'Raw cashflow'!D15</f>
        <v>2</v>
      </c>
      <c r="K18" s="92">
        <f>-'Raw cashflow'!E14+'Raw cashflow'!E15</f>
        <v>655</v>
      </c>
      <c r="L18" s="92">
        <f>-'Raw cashflow'!F14+'Raw cashflow'!F15</f>
        <v>923</v>
      </c>
      <c r="M18" s="92">
        <f>-'Raw cashflow'!G14+'Raw cashflow'!G15</f>
        <v>1425</v>
      </c>
      <c r="N18" s="92">
        <f>-'Raw cashflow'!H14+'Raw cashflow'!H15</f>
        <v>1718</v>
      </c>
      <c r="O18" s="92">
        <f>-'Raw cashflow'!I14+'Raw cashflow'!I15</f>
        <v>2031</v>
      </c>
      <c r="P18" s="92">
        <f>-'Raw cashflow'!J14+'Raw cashflow'!J15</f>
        <v>2431</v>
      </c>
      <c r="Q18" s="92">
        <f>-'Raw cashflow'!K14+'Raw cashflow'!K15</f>
        <v>2217</v>
      </c>
      <c r="R18" s="92">
        <f>-'Raw cashflow'!L14+'Raw cashflow'!L15</f>
        <v>2740</v>
      </c>
      <c r="S18" s="93">
        <f>-'Raw cashflow'!M14+'Raw cashflow'!M15</f>
        <v>3429</v>
      </c>
    </row>
    <row r="19" spans="1:19" x14ac:dyDescent="0.3">
      <c r="A19" s="83" t="s">
        <v>218</v>
      </c>
      <c r="C19" s="57">
        <f>C17/(1+C18)^C5</f>
        <v>831.83224928452614</v>
      </c>
      <c r="D19" s="57">
        <f>D17/(1+D18)^D5</f>
        <v>965.42516915387159</v>
      </c>
      <c r="E19" s="57">
        <f>E17/(1+E18)^E5</f>
        <v>1557.5754888729587</v>
      </c>
      <c r="F19" s="57">
        <f>F17/(1+F18)^F5</f>
        <v>2748.6384489356028</v>
      </c>
      <c r="G19" s="74">
        <f>G17/(1+G18)^G5</f>
        <v>2887.5825834095099</v>
      </c>
      <c r="I19" s="94" t="s">
        <v>147</v>
      </c>
      <c r="J19" s="110">
        <f>J18/J17</f>
        <v>2.3299812669506136E-4</v>
      </c>
      <c r="K19" s="111">
        <f t="shared" ref="K19:S19" si="11">K18/K17</f>
        <v>5.5052657236272555E-2</v>
      </c>
      <c r="L19" s="111">
        <f>L18/L17</f>
        <v>6.1397440332065026E-2</v>
      </c>
      <c r="M19" s="111">
        <f t="shared" si="11"/>
        <v>7.1233901138342728E-2</v>
      </c>
      <c r="N19" s="111">
        <f t="shared" si="11"/>
        <v>6.9078656383945447E-2</v>
      </c>
      <c r="O19" s="111">
        <f t="shared" si="11"/>
        <v>8.412355351807102E-2</v>
      </c>
      <c r="P19" s="111">
        <f t="shared" si="11"/>
        <v>7.8479429576253049E-2</v>
      </c>
      <c r="Q19" s="111">
        <f t="shared" si="11"/>
        <v>5.1751231805368683E-2</v>
      </c>
      <c r="R19" s="111">
        <f t="shared" si="11"/>
        <v>5.3948870253557719E-2</v>
      </c>
      <c r="S19" s="111">
        <f t="shared" si="11"/>
        <v>5.7768070211201339E-2</v>
      </c>
    </row>
    <row r="20" spans="1:19" x14ac:dyDescent="0.3">
      <c r="A20" s="199" t="s">
        <v>133</v>
      </c>
      <c r="B20" s="200">
        <f>SUM(C19:G19)</f>
        <v>8991.0539396564691</v>
      </c>
      <c r="I20" s="95"/>
      <c r="J20" s="112">
        <f>MEDIAN(K19:S19)</f>
        <v>6.1397440332065026E-2</v>
      </c>
      <c r="K20" s="95"/>
      <c r="L20" s="95"/>
      <c r="M20" s="95"/>
      <c r="N20" s="95"/>
      <c r="O20" s="95"/>
      <c r="P20" s="95"/>
      <c r="Q20" s="95"/>
      <c r="R20" s="95"/>
      <c r="S20" s="95"/>
    </row>
    <row r="21" spans="1:19" x14ac:dyDescent="0.3"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</row>
    <row r="22" spans="1:19" x14ac:dyDescent="0.3">
      <c r="A22" s="209" t="s">
        <v>219</v>
      </c>
      <c r="B22" s="210">
        <f>ROUND(WACC!C29,4)</f>
        <v>0.1174</v>
      </c>
      <c r="C22" s="123"/>
    </row>
    <row r="23" spans="1:19" x14ac:dyDescent="0.3">
      <c r="A23" s="224" t="s">
        <v>162</v>
      </c>
      <c r="B23" s="225">
        <v>6.5000000000000002E-2</v>
      </c>
      <c r="C23" s="123" t="s">
        <v>161</v>
      </c>
    </row>
    <row r="25" spans="1:19" x14ac:dyDescent="0.3">
      <c r="A25" s="62" t="s">
        <v>134</v>
      </c>
      <c r="B25" s="63"/>
    </row>
    <row r="26" spans="1:19" x14ac:dyDescent="0.3">
      <c r="A26" t="s">
        <v>135</v>
      </c>
      <c r="B26" s="56">
        <f>G17*(1+B23)</f>
        <v>5067.8414939344711</v>
      </c>
      <c r="C26" s="144" t="s">
        <v>209</v>
      </c>
      <c r="I26" s="226" t="s">
        <v>220</v>
      </c>
      <c r="J26" s="227"/>
      <c r="K26" s="227"/>
      <c r="L26" s="227"/>
      <c r="M26" s="227"/>
      <c r="N26" s="227"/>
    </row>
    <row r="27" spans="1:19" x14ac:dyDescent="0.3">
      <c r="A27" s="211" t="s">
        <v>217</v>
      </c>
      <c r="B27" s="212">
        <f>B26/(B22-B23)</f>
        <v>96714.532326993722</v>
      </c>
      <c r="C27" s="144" t="s">
        <v>210</v>
      </c>
      <c r="D27" s="144"/>
      <c r="E27" s="144"/>
      <c r="I27" s="228">
        <f>B27</f>
        <v>96714.532326993722</v>
      </c>
      <c r="J27" s="221">
        <v>0.09</v>
      </c>
      <c r="K27" s="221">
        <v>0.1</v>
      </c>
      <c r="L27" s="222">
        <v>0.1174</v>
      </c>
      <c r="M27" s="221">
        <v>0.14000000000000001</v>
      </c>
      <c r="N27" s="223">
        <v>0.15</v>
      </c>
      <c r="O27" t="s">
        <v>219</v>
      </c>
    </row>
    <row r="28" spans="1:19" x14ac:dyDescent="0.3">
      <c r="H28" s="230" t="s">
        <v>221</v>
      </c>
      <c r="I28" s="218">
        <v>0.04</v>
      </c>
      <c r="J28" s="213">
        <f t="dataTable" ref="J28:N32" dt2D="1" dtr="1" r1="B22" r2="B23"/>
        <v>98977.561571677958</v>
      </c>
      <c r="K28" s="213">
        <v>82481.301309731614</v>
      </c>
      <c r="L28" s="213">
        <v>63938.99326335785</v>
      </c>
      <c r="M28" s="213">
        <v>49488.780785838971</v>
      </c>
      <c r="N28" s="214">
        <v>44989.800714399069</v>
      </c>
    </row>
    <row r="29" spans="1:19" x14ac:dyDescent="0.3">
      <c r="A29" s="145" t="s">
        <v>136</v>
      </c>
      <c r="B29" s="146">
        <f>B27/(1+B22)^DCF!G5</f>
        <v>58688.462811662743</v>
      </c>
      <c r="C29" s="144" t="s">
        <v>216</v>
      </c>
      <c r="H29" s="230"/>
      <c r="I29" s="218">
        <v>0.05</v>
      </c>
      <c r="J29" s="213">
        <v>124911.58611810319</v>
      </c>
      <c r="K29" s="213">
        <v>99929.268894482535</v>
      </c>
      <c r="L29" s="213">
        <v>74131.505114601285</v>
      </c>
      <c r="M29" s="213">
        <v>55516.260496934738</v>
      </c>
      <c r="N29" s="214">
        <v>49964.634447241275</v>
      </c>
    </row>
    <row r="30" spans="1:19" x14ac:dyDescent="0.3">
      <c r="H30" s="230"/>
      <c r="I30" s="219">
        <v>6.5000000000000002E-2</v>
      </c>
      <c r="J30" s="213">
        <v>202713.65975737889</v>
      </c>
      <c r="K30" s="213">
        <v>144795.47125527059</v>
      </c>
      <c r="L30" s="215">
        <v>96714.532326993722</v>
      </c>
      <c r="M30" s="213">
        <v>67571.219919126277</v>
      </c>
      <c r="N30" s="214">
        <v>59621.664634523193</v>
      </c>
    </row>
    <row r="31" spans="1:19" x14ac:dyDescent="0.3">
      <c r="A31" s="62" t="s">
        <v>141</v>
      </c>
      <c r="B31" s="91">
        <f>B29+B20</f>
        <v>67679.516751319214</v>
      </c>
      <c r="C31" s="144" t="s">
        <v>163</v>
      </c>
      <c r="H31" s="230"/>
      <c r="I31" s="218">
        <v>7.0000000000000007E-2</v>
      </c>
      <c r="J31" s="213">
        <v>254581.70885022945</v>
      </c>
      <c r="K31" s="213">
        <v>169721.13923348623</v>
      </c>
      <c r="L31" s="213">
        <v>107418.44255283938</v>
      </c>
      <c r="M31" s="213">
        <v>72737.631100065511</v>
      </c>
      <c r="N31" s="214">
        <v>63645.427212557341</v>
      </c>
    </row>
    <row r="32" spans="1:19" x14ac:dyDescent="0.3">
      <c r="H32" s="230"/>
      <c r="I32" s="220">
        <v>0.08</v>
      </c>
      <c r="J32" s="216">
        <v>513921.95431448187</v>
      </c>
      <c r="K32" s="216">
        <v>256960.97715724076</v>
      </c>
      <c r="L32" s="216">
        <v>137412.2872498614</v>
      </c>
      <c r="M32" s="216">
        <v>85653.659052413583</v>
      </c>
      <c r="N32" s="217">
        <v>73417.422044925959</v>
      </c>
    </row>
    <row r="33" spans="1:3" x14ac:dyDescent="0.3">
      <c r="A33" s="140" t="s">
        <v>164</v>
      </c>
      <c r="B33" s="141">
        <f>B31</f>
        <v>67679.516751319214</v>
      </c>
    </row>
    <row r="34" spans="1:3" x14ac:dyDescent="0.3">
      <c r="A34" t="s">
        <v>142</v>
      </c>
      <c r="B34">
        <f>'Raw BS'!M37</f>
        <v>358</v>
      </c>
    </row>
    <row r="35" spans="1:3" x14ac:dyDescent="0.3">
      <c r="A35" t="s">
        <v>143</v>
      </c>
      <c r="B35">
        <f>'Raw BS'!M9</f>
        <v>820</v>
      </c>
    </row>
    <row r="36" spans="1:3" x14ac:dyDescent="0.3">
      <c r="A36" s="62" t="s">
        <v>149</v>
      </c>
      <c r="B36" s="91">
        <f>B33+B34-B35</f>
        <v>67217.516751319214</v>
      </c>
    </row>
    <row r="38" spans="1:3" x14ac:dyDescent="0.3">
      <c r="A38" s="84" t="s">
        <v>165</v>
      </c>
      <c r="B38" s="85">
        <f>'Data sheet'!B6</f>
        <v>65.208830022075048</v>
      </c>
    </row>
    <row r="39" spans="1:3" x14ac:dyDescent="0.3">
      <c r="A39" s="42" t="s">
        <v>144</v>
      </c>
      <c r="B39" s="143">
        <f>B36/B38</f>
        <v>1030.8039069028562</v>
      </c>
    </row>
    <row r="41" spans="1:3" x14ac:dyDescent="0.3">
      <c r="A41" s="11" t="s">
        <v>146</v>
      </c>
      <c r="B41" s="142">
        <f>'Data sheet'!B8</f>
        <v>4530</v>
      </c>
      <c r="C41" t="s">
        <v>222</v>
      </c>
    </row>
    <row r="42" spans="1:3" x14ac:dyDescent="0.3">
      <c r="A42" t="s">
        <v>145</v>
      </c>
      <c r="B42" s="86">
        <f>B41/B39</f>
        <v>4.3946282796024665</v>
      </c>
    </row>
  </sheetData>
  <mergeCells count="7">
    <mergeCell ref="H28:H32"/>
    <mergeCell ref="J15:S15"/>
    <mergeCell ref="J1:S1"/>
    <mergeCell ref="T1:X1"/>
    <mergeCell ref="C3:G3"/>
    <mergeCell ref="B2:G2"/>
    <mergeCell ref="A1:G1"/>
  </mergeCells>
  <pageMargins left="0.7" right="0.7" top="0.75" bottom="0.75" header="0.3" footer="0.3"/>
  <ignoredErrors>
    <ignoredError sqref="B11:G11 D13:G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4776-C47F-4A96-8857-7332AEFC58B2}">
  <dimension ref="B1:K30"/>
  <sheetViews>
    <sheetView showGridLines="0" zoomScale="85" zoomScaleNormal="85" workbookViewId="0"/>
  </sheetViews>
  <sheetFormatPr defaultRowHeight="14.4" x14ac:dyDescent="0.3"/>
  <cols>
    <col min="2" max="2" width="40.44140625" customWidth="1"/>
    <col min="3" max="3" width="13.88671875" bestFit="1" customWidth="1"/>
  </cols>
  <sheetData>
    <row r="1" spans="2:11" ht="16.8" customHeight="1" x14ac:dyDescent="0.3">
      <c r="B1" s="236" t="s">
        <v>197</v>
      </c>
      <c r="C1" s="236"/>
      <c r="D1" s="2"/>
    </row>
    <row r="2" spans="2:11" x14ac:dyDescent="0.3">
      <c r="B2" s="184"/>
      <c r="D2" s="2"/>
    </row>
    <row r="3" spans="2:11" ht="15.6" x14ac:dyDescent="0.3">
      <c r="B3" s="179" t="s">
        <v>103</v>
      </c>
      <c r="C3" s="179"/>
      <c r="D3" s="180"/>
      <c r="E3" s="180"/>
      <c r="F3" s="180"/>
      <c r="G3" s="180"/>
      <c r="H3" s="180"/>
      <c r="I3" s="180"/>
      <c r="J3" s="180"/>
      <c r="K3" s="181"/>
    </row>
    <row r="5" spans="2:11" x14ac:dyDescent="0.3">
      <c r="B5" s="117" t="s">
        <v>104</v>
      </c>
      <c r="C5" s="120"/>
    </row>
    <row r="6" spans="2:11" x14ac:dyDescent="0.3">
      <c r="B6" s="11"/>
    </row>
    <row r="7" spans="2:11" x14ac:dyDescent="0.3">
      <c r="B7" s="41" t="s">
        <v>106</v>
      </c>
      <c r="C7" s="45">
        <v>6.9610000000000005E-2</v>
      </c>
      <c r="E7" s="46" t="s">
        <v>114</v>
      </c>
    </row>
    <row r="8" spans="2:11" x14ac:dyDescent="0.3">
      <c r="B8" s="41" t="s">
        <v>107</v>
      </c>
      <c r="C8" s="45">
        <v>7.0800000000000002E-2</v>
      </c>
      <c r="E8" s="46" t="s">
        <v>115</v>
      </c>
    </row>
    <row r="9" spans="2:11" x14ac:dyDescent="0.3">
      <c r="B9" s="43" t="s">
        <v>108</v>
      </c>
      <c r="C9" s="44">
        <v>0.68</v>
      </c>
      <c r="E9" s="46" t="s">
        <v>116</v>
      </c>
    </row>
    <row r="10" spans="2:11" x14ac:dyDescent="0.3">
      <c r="B10" s="115" t="s">
        <v>117</v>
      </c>
      <c r="C10" s="116">
        <f>Risk_Free_Rate+(Equity_Risk_Premium*Levered_Beta)</f>
        <v>0.11775400000000001</v>
      </c>
    </row>
    <row r="11" spans="2:11" x14ac:dyDescent="0.3">
      <c r="B11" s="195" t="s">
        <v>206</v>
      </c>
      <c r="C11" s="194"/>
    </row>
    <row r="13" spans="2:11" x14ac:dyDescent="0.3">
      <c r="B13" s="117" t="s">
        <v>105</v>
      </c>
      <c r="C13" s="120"/>
    </row>
    <row r="15" spans="2:11" x14ac:dyDescent="0.3">
      <c r="B15" s="182" t="s">
        <v>204</v>
      </c>
      <c r="C15" s="183">
        <f>Risk_Free_Rate+spread</f>
        <v>7.6610000000000011E-2</v>
      </c>
      <c r="D15" s="45">
        <v>7.0000000000000001E-3</v>
      </c>
      <c r="E15" s="46" t="s">
        <v>115</v>
      </c>
      <c r="I15" t="s">
        <v>118</v>
      </c>
    </row>
    <row r="16" spans="2:11" x14ac:dyDescent="0.3">
      <c r="B16" s="43" t="s">
        <v>2</v>
      </c>
      <c r="C16" s="47">
        <v>0.3</v>
      </c>
    </row>
    <row r="17" spans="2:5" x14ac:dyDescent="0.3">
      <c r="B17" s="115" t="s">
        <v>119</v>
      </c>
      <c r="C17" s="116">
        <f>pretax_cost_of_debt*(1-tax_rate)</f>
        <v>5.3627000000000008E-2</v>
      </c>
    </row>
    <row r="18" spans="2:5" x14ac:dyDescent="0.3">
      <c r="B18" s="196" t="s">
        <v>207</v>
      </c>
    </row>
    <row r="20" spans="2:5" x14ac:dyDescent="0.3">
      <c r="B20" s="118" t="s">
        <v>109</v>
      </c>
      <c r="C20" s="193" t="s">
        <v>120</v>
      </c>
    </row>
    <row r="21" spans="2:5" x14ac:dyDescent="0.3">
      <c r="B21" s="41" t="s">
        <v>111</v>
      </c>
      <c r="C21" s="19">
        <f>'Data sheet'!B9</f>
        <v>295396</v>
      </c>
      <c r="E21" s="46" t="s">
        <v>121</v>
      </c>
    </row>
    <row r="22" spans="2:5" x14ac:dyDescent="0.3">
      <c r="B22" s="113" t="s">
        <v>110</v>
      </c>
      <c r="C22" s="1">
        <v>1609.19</v>
      </c>
      <c r="E22" s="46" t="s">
        <v>121</v>
      </c>
    </row>
    <row r="23" spans="2:5" x14ac:dyDescent="0.3">
      <c r="B23" s="84"/>
      <c r="C23" s="114">
        <f>C22+C21</f>
        <v>297005.19</v>
      </c>
    </row>
    <row r="24" spans="2:5" x14ac:dyDescent="0.3">
      <c r="C24" s="19"/>
    </row>
    <row r="25" spans="2:5" x14ac:dyDescent="0.3">
      <c r="B25" s="41" t="s">
        <v>112</v>
      </c>
      <c r="C25" s="48">
        <f>C21/$C$23</f>
        <v>0.99458194653096799</v>
      </c>
    </row>
    <row r="26" spans="2:5" x14ac:dyDescent="0.3">
      <c r="B26" s="41" t="s">
        <v>113</v>
      </c>
      <c r="C26" s="48">
        <f>C22/$C$23</f>
        <v>5.418053469031972E-3</v>
      </c>
    </row>
    <row r="29" spans="2:5" ht="28.8" x14ac:dyDescent="0.3">
      <c r="B29" s="119" t="s">
        <v>122</v>
      </c>
      <c r="C29" s="49">
        <f>(Cost_of_equity*Equity_weight)+(Cost_of_debt*Debt_weight)</f>
        <v>0.1174065564851914</v>
      </c>
    </row>
    <row r="30" spans="2:5" x14ac:dyDescent="0.3">
      <c r="B30" s="192" t="s">
        <v>205</v>
      </c>
    </row>
  </sheetData>
  <mergeCells count="1">
    <mergeCell ref="B1:C1"/>
  </mergeCells>
  <hyperlinks>
    <hyperlink ref="E7" r:id="rId1" xr:uid="{7FAFAF71-A880-497A-995D-9C2C68A3BA6A}"/>
    <hyperlink ref="E8" r:id="rId2" xr:uid="{E9A4D234-78A0-466D-9094-878CE9C84E60}"/>
    <hyperlink ref="E9" r:id="rId3" xr:uid="{AF912355-C717-4796-901C-812D00C8915A}"/>
    <hyperlink ref="E15" r:id="rId4" xr:uid="{5B28DF3D-475B-4BB5-B4EB-8A48CBC35141}"/>
    <hyperlink ref="E22" r:id="rId5" xr:uid="{1AFBB2A2-BC63-4756-A829-40A6DF66B706}"/>
    <hyperlink ref="E21" r:id="rId6" xr:uid="{EA24BF70-49EF-4A7C-A66E-B570B5EA87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9A51-BE37-4686-9138-8D02B243B51B}">
  <dimension ref="A1:N59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44140625" bestFit="1" customWidth="1"/>
    <col min="2" max="2" width="11.21875" bestFit="1" customWidth="1"/>
    <col min="3" max="4" width="11" bestFit="1" customWidth="1"/>
    <col min="5" max="5" width="10.77734375" customWidth="1"/>
    <col min="6" max="6" width="10.6640625" customWidth="1"/>
    <col min="7" max="11" width="11" bestFit="1" customWidth="1"/>
  </cols>
  <sheetData>
    <row r="1" spans="1:14" x14ac:dyDescent="0.3">
      <c r="A1" s="2" t="s">
        <v>124</v>
      </c>
    </row>
    <row r="2" spans="1:14" x14ac:dyDescent="0.3">
      <c r="A2" s="2"/>
      <c r="E2" s="239" t="s">
        <v>196</v>
      </c>
      <c r="F2" s="239"/>
    </row>
    <row r="3" spans="1:14" x14ac:dyDescent="0.3">
      <c r="A3" s="150" t="s">
        <v>123</v>
      </c>
      <c r="B3" s="151">
        <v>42460</v>
      </c>
      <c r="C3" s="151">
        <v>42825</v>
      </c>
      <c r="D3" s="151">
        <v>43190</v>
      </c>
      <c r="E3" s="151">
        <v>43555</v>
      </c>
      <c r="F3" s="151">
        <v>43921</v>
      </c>
      <c r="G3" s="151">
        <v>44286</v>
      </c>
      <c r="H3" s="151">
        <v>44651</v>
      </c>
      <c r="I3" s="151">
        <v>45016</v>
      </c>
      <c r="J3" s="151">
        <v>45382</v>
      </c>
      <c r="K3" s="152">
        <v>45747</v>
      </c>
    </row>
    <row r="4" spans="1:14" x14ac:dyDescent="0.3">
      <c r="A4" s="153" t="s">
        <v>16</v>
      </c>
      <c r="B4" s="50">
        <v>8584</v>
      </c>
      <c r="C4" s="50">
        <v>11898</v>
      </c>
      <c r="D4" s="50">
        <v>15033</v>
      </c>
      <c r="E4" s="50">
        <v>20005</v>
      </c>
      <c r="F4" s="50">
        <v>24870</v>
      </c>
      <c r="G4" s="50">
        <v>24143</v>
      </c>
      <c r="H4" s="50">
        <v>30976</v>
      </c>
      <c r="I4" s="50">
        <v>42840</v>
      </c>
      <c r="J4" s="50">
        <v>50789</v>
      </c>
      <c r="K4" s="154">
        <v>59358</v>
      </c>
      <c r="N4" s="52"/>
    </row>
    <row r="5" spans="1:14" x14ac:dyDescent="0.3">
      <c r="A5" s="155" t="s">
        <v>125</v>
      </c>
      <c r="B5" s="156"/>
      <c r="C5" s="125">
        <f>C4/B4-1</f>
        <v>0.38606710158434288</v>
      </c>
      <c r="D5" s="125">
        <f t="shared" ref="D5:K5" si="0">D4/C4-1</f>
        <v>0.26348966212808866</v>
      </c>
      <c r="E5" s="125">
        <f t="shared" si="0"/>
        <v>0.33073904077695726</v>
      </c>
      <c r="F5" s="125">
        <f t="shared" si="0"/>
        <v>0.2431892026993252</v>
      </c>
      <c r="G5" s="125">
        <f t="shared" si="0"/>
        <v>-2.9232006433453916E-2</v>
      </c>
      <c r="H5" s="125">
        <f t="shared" si="0"/>
        <v>0.28302199395269856</v>
      </c>
      <c r="I5" s="125">
        <f t="shared" si="0"/>
        <v>0.38300619834710736</v>
      </c>
      <c r="J5" s="125">
        <f t="shared" si="0"/>
        <v>0.18555088702147526</v>
      </c>
      <c r="K5" s="157">
        <f t="shared" si="0"/>
        <v>0.16871763570851961</v>
      </c>
      <c r="L5" s="124"/>
    </row>
    <row r="6" spans="1:14" x14ac:dyDescent="0.3">
      <c r="A6" s="153" t="s">
        <v>151</v>
      </c>
      <c r="B6" s="50">
        <f>SUM('Data sheet'!B15,-'Data sheet'!B16,'Data sheet'!B17:B18)</f>
        <v>7624.1399999999994</v>
      </c>
      <c r="C6" s="50">
        <f>SUM('Data sheet'!C15,-'Data sheet'!C16,'Data sheet'!C17:C18)</f>
        <v>10513.34</v>
      </c>
      <c r="D6" s="50">
        <f>SUM('Data sheet'!D15,-'Data sheet'!D16,'Data sheet'!D17:D18)</f>
        <v>13130.62</v>
      </c>
      <c r="E6" s="50">
        <f>SUM('Data sheet'!E15,-'Data sheet'!E16,'Data sheet'!E17:E18)</f>
        <v>17653.36</v>
      </c>
      <c r="F6" s="50">
        <f>SUM('Data sheet'!F15,-'Data sheet'!F16,'Data sheet'!F17:F18)</f>
        <v>21937.13</v>
      </c>
      <c r="G6" s="50">
        <f>SUM('Data sheet'!G15,-'Data sheet'!G16,'Data sheet'!G17:G18)</f>
        <v>21475.31</v>
      </c>
      <c r="H6" s="50">
        <f>SUM('Data sheet'!H15,-'Data sheet'!H16,'Data sheet'!H17:H18)</f>
        <v>27411.1</v>
      </c>
      <c r="I6" s="50">
        <f>SUM('Data sheet'!I15,-'Data sheet'!I16,'Data sheet'!I17:I18)</f>
        <v>37815.129999999997</v>
      </c>
      <c r="J6" s="50">
        <f>SUM('Data sheet'!J15,-'Data sheet'!J16,'Data sheet'!J17:J18)</f>
        <v>44974.559999999998</v>
      </c>
      <c r="K6" s="154">
        <f>SUM('Data sheet'!K15,-'Data sheet'!K16,'Data sheet'!K17:K18)</f>
        <v>52751.3</v>
      </c>
      <c r="L6" s="124"/>
    </row>
    <row r="7" spans="1:14" x14ac:dyDescent="0.3">
      <c r="A7" s="155" t="s">
        <v>147</v>
      </c>
      <c r="B7" s="125">
        <f>B6/B4</f>
        <v>0.88818033550792164</v>
      </c>
      <c r="C7" s="125">
        <f t="shared" ref="C7:K7" si="1">C6/C4</f>
        <v>0.88362245755589175</v>
      </c>
      <c r="D7" s="125">
        <f t="shared" si="1"/>
        <v>0.87345306991285843</v>
      </c>
      <c r="E7" s="125">
        <f t="shared" si="1"/>
        <v>0.88244738815296175</v>
      </c>
      <c r="F7" s="125">
        <f t="shared" si="1"/>
        <v>0.88207197426618422</v>
      </c>
      <c r="G7" s="125">
        <f t="shared" si="1"/>
        <v>0.88950461831586802</v>
      </c>
      <c r="H7" s="125">
        <f t="shared" si="1"/>
        <v>0.88491412706611561</v>
      </c>
      <c r="I7" s="125">
        <f t="shared" si="1"/>
        <v>0.88270611577964508</v>
      </c>
      <c r="J7" s="125">
        <f t="shared" si="1"/>
        <v>0.88551773021717295</v>
      </c>
      <c r="K7" s="157">
        <f t="shared" si="1"/>
        <v>0.88869739546480686</v>
      </c>
    </row>
    <row r="8" spans="1:14" x14ac:dyDescent="0.3">
      <c r="A8" s="153" t="s">
        <v>152</v>
      </c>
      <c r="B8" s="50">
        <f>B4-B6</f>
        <v>959.86000000000058</v>
      </c>
      <c r="C8" s="50">
        <f t="shared" ref="C8:K8" si="2">C4-C6</f>
        <v>1384.6599999999999</v>
      </c>
      <c r="D8" s="50">
        <f t="shared" si="2"/>
        <v>1902.3799999999992</v>
      </c>
      <c r="E8" s="50">
        <f t="shared" si="2"/>
        <v>2351.6399999999994</v>
      </c>
      <c r="F8" s="50">
        <f t="shared" si="2"/>
        <v>2932.869999999999</v>
      </c>
      <c r="G8" s="50">
        <f t="shared" si="2"/>
        <v>2667.6899999999987</v>
      </c>
      <c r="H8" s="50">
        <f t="shared" si="2"/>
        <v>3564.9000000000015</v>
      </c>
      <c r="I8" s="50">
        <f t="shared" si="2"/>
        <v>5024.8700000000026</v>
      </c>
      <c r="J8" s="50">
        <f t="shared" si="2"/>
        <v>5814.4400000000023</v>
      </c>
      <c r="K8" s="154">
        <f t="shared" si="2"/>
        <v>6606.6999999999971</v>
      </c>
    </row>
    <row r="9" spans="1:14" x14ac:dyDescent="0.3">
      <c r="A9" s="155" t="s">
        <v>147</v>
      </c>
      <c r="B9" s="125">
        <f>B8/B4</f>
        <v>0.11181966449207835</v>
      </c>
      <c r="C9" s="125">
        <f t="shared" ref="C9:K9" si="3">C8/C4</f>
        <v>0.11637754244410824</v>
      </c>
      <c r="D9" s="125">
        <f t="shared" si="3"/>
        <v>0.12654693008714157</v>
      </c>
      <c r="E9" s="125">
        <f t="shared" si="3"/>
        <v>0.1175526118470382</v>
      </c>
      <c r="F9" s="125">
        <f t="shared" si="3"/>
        <v>0.11792802573381581</v>
      </c>
      <c r="G9" s="125">
        <f t="shared" si="3"/>
        <v>0.11049538168413199</v>
      </c>
      <c r="H9" s="125">
        <f t="shared" si="3"/>
        <v>0.11508587293388435</v>
      </c>
      <c r="I9" s="125">
        <f t="shared" si="3"/>
        <v>0.11729388422035487</v>
      </c>
      <c r="J9" s="125">
        <f t="shared" si="3"/>
        <v>0.11448226978282704</v>
      </c>
      <c r="K9" s="157">
        <f t="shared" si="3"/>
        <v>0.11130260453519318</v>
      </c>
    </row>
    <row r="10" spans="1:14" x14ac:dyDescent="0.3">
      <c r="A10" s="153" t="s">
        <v>153</v>
      </c>
      <c r="B10" s="126">
        <f>SUM('Data sheet'!B19:B21)</f>
        <v>295.15999999999997</v>
      </c>
      <c r="C10" s="126">
        <f>SUM('Data sheet'!C19:C21)</f>
        <v>415.17999999999995</v>
      </c>
      <c r="D10" s="126">
        <f>SUM('Data sheet'!D19:D21)</f>
        <v>549.72</v>
      </c>
      <c r="E10" s="126">
        <f>SUM('Data sheet'!E19:E21)</f>
        <v>717.85</v>
      </c>
      <c r="F10" s="126">
        <f>SUM('Data sheet'!F19:F21)</f>
        <v>804.76</v>
      </c>
      <c r="G10" s="126">
        <f>SUM('Data sheet'!G19:G21)</f>
        <v>922.92</v>
      </c>
      <c r="H10" s="126">
        <f>SUM('Data sheet'!H19:H21)</f>
        <v>1062.82</v>
      </c>
      <c r="I10" s="126">
        <f>SUM('Data sheet'!I19:I21)</f>
        <v>1385.6599999999999</v>
      </c>
      <c r="J10" s="126">
        <f>SUM('Data sheet'!J19:J21)</f>
        <v>1708.63</v>
      </c>
      <c r="K10" s="158">
        <f>SUM('Data sheet'!K19:K21)</f>
        <v>2112.2399999999998</v>
      </c>
    </row>
    <row r="11" spans="1:14" x14ac:dyDescent="0.3">
      <c r="A11" s="155" t="s">
        <v>147</v>
      </c>
      <c r="B11" s="125">
        <f>B10/B4</f>
        <v>3.4384902143522827E-2</v>
      </c>
      <c r="C11" s="125">
        <f t="shared" ref="C11:K11" si="4">C10/C4</f>
        <v>3.4894940326105225E-2</v>
      </c>
      <c r="D11" s="125">
        <f t="shared" si="4"/>
        <v>3.6567551386948713E-2</v>
      </c>
      <c r="E11" s="125">
        <f t="shared" si="4"/>
        <v>3.5883529117720574E-2</v>
      </c>
      <c r="F11" s="125">
        <f t="shared" si="4"/>
        <v>3.2358665058303177E-2</v>
      </c>
      <c r="G11" s="125">
        <f t="shared" si="4"/>
        <v>3.8227229424677961E-2</v>
      </c>
      <c r="H11" s="125">
        <f t="shared" si="4"/>
        <v>3.4311079545454544E-2</v>
      </c>
      <c r="I11" s="125">
        <f t="shared" si="4"/>
        <v>3.2345004668534079E-2</v>
      </c>
      <c r="J11" s="125">
        <f t="shared" si="4"/>
        <v>3.3641733446218673E-2</v>
      </c>
      <c r="K11" s="157">
        <f t="shared" si="4"/>
        <v>3.5584756898817342E-2</v>
      </c>
    </row>
    <row r="12" spans="1:14" x14ac:dyDescent="0.3">
      <c r="A12" s="153" t="s">
        <v>31</v>
      </c>
      <c r="B12" s="126">
        <f>B8-B10</f>
        <v>664.70000000000061</v>
      </c>
      <c r="C12" s="126">
        <f>C8-C10</f>
        <v>969.4799999999999</v>
      </c>
      <c r="D12" s="126">
        <f>D8-D10</f>
        <v>1352.6599999999992</v>
      </c>
      <c r="E12" s="126">
        <f t="shared" ref="E12:I12" si="5">E8-E10</f>
        <v>1633.7899999999995</v>
      </c>
      <c r="F12" s="126">
        <f>F8-F10</f>
        <v>2128.1099999999988</v>
      </c>
      <c r="G12" s="126">
        <f t="shared" si="5"/>
        <v>1744.7699999999986</v>
      </c>
      <c r="H12" s="126">
        <f t="shared" si="5"/>
        <v>2502.0800000000017</v>
      </c>
      <c r="I12" s="126">
        <f t="shared" si="5"/>
        <v>3639.2100000000028</v>
      </c>
      <c r="J12" s="126">
        <f>J8-J10</f>
        <v>4105.8100000000022</v>
      </c>
      <c r="K12" s="158">
        <f>K8-K10</f>
        <v>4494.4599999999973</v>
      </c>
    </row>
    <row r="13" spans="1:14" x14ac:dyDescent="0.3">
      <c r="A13" s="155" t="s">
        <v>147</v>
      </c>
      <c r="B13" s="125">
        <f>B12/B4</f>
        <v>7.7434762348555522E-2</v>
      </c>
      <c r="C13" s="125">
        <f t="shared" ref="C13:K13" si="6">C12/C4</f>
        <v>8.1482602118003011E-2</v>
      </c>
      <c r="D13" s="125">
        <f t="shared" si="6"/>
        <v>8.9979378700192861E-2</v>
      </c>
      <c r="E13" s="125">
        <f t="shared" si="6"/>
        <v>8.1669082729317652E-2</v>
      </c>
      <c r="F13" s="125">
        <f t="shared" si="6"/>
        <v>8.5569360675512615E-2</v>
      </c>
      <c r="G13" s="125">
        <f t="shared" si="6"/>
        <v>7.226815225945403E-2</v>
      </c>
      <c r="H13" s="125">
        <f t="shared" si="6"/>
        <v>8.0774793388429814E-2</v>
      </c>
      <c r="I13" s="125">
        <f t="shared" si="6"/>
        <v>8.4948879551820788E-2</v>
      </c>
      <c r="J13" s="125">
        <f t="shared" si="6"/>
        <v>8.0840536336608371E-2</v>
      </c>
      <c r="K13" s="157">
        <f t="shared" si="6"/>
        <v>7.5717847636375846E-2</v>
      </c>
      <c r="L13" s="45"/>
    </row>
    <row r="14" spans="1:14" x14ac:dyDescent="0.3">
      <c r="A14" s="153" t="s">
        <v>1</v>
      </c>
      <c r="B14" s="126">
        <f>'Data sheet'!B23</f>
        <v>98.43</v>
      </c>
      <c r="C14" s="126">
        <f>'Data sheet'!C23</f>
        <v>127.82</v>
      </c>
      <c r="D14" s="126">
        <f>'Data sheet'!D23</f>
        <v>159</v>
      </c>
      <c r="E14" s="126">
        <f>'Data sheet'!E23</f>
        <v>212.49</v>
      </c>
      <c r="F14" s="126">
        <f>'Data sheet'!F23</f>
        <v>374.41</v>
      </c>
      <c r="G14" s="126">
        <f>'Data sheet'!G23</f>
        <v>414.16</v>
      </c>
      <c r="H14" s="126">
        <f>'Data sheet'!H23</f>
        <v>498.08</v>
      </c>
      <c r="I14" s="126">
        <f>'Data sheet'!I23</f>
        <v>638.87</v>
      </c>
      <c r="J14" s="126">
        <f>'Data sheet'!J23</f>
        <v>730.76</v>
      </c>
      <c r="K14" s="158">
        <f>'Data sheet'!K23</f>
        <v>869.52</v>
      </c>
    </row>
    <row r="15" spans="1:14" x14ac:dyDescent="0.3">
      <c r="A15" s="155" t="s">
        <v>147</v>
      </c>
      <c r="B15" s="125">
        <f>B14/B4</f>
        <v>1.146668219944082E-2</v>
      </c>
      <c r="C15" s="125">
        <f t="shared" ref="C15:J15" si="7">C14/C4</f>
        <v>1.0742982013783828E-2</v>
      </c>
      <c r="D15" s="125">
        <f t="shared" si="7"/>
        <v>1.0576731191378965E-2</v>
      </c>
      <c r="E15" s="125">
        <f t="shared" si="7"/>
        <v>1.0621844538865284E-2</v>
      </c>
      <c r="F15" s="125">
        <f t="shared" si="7"/>
        <v>1.505468435866506E-2</v>
      </c>
      <c r="G15" s="125">
        <f t="shared" si="7"/>
        <v>1.7154454707368597E-2</v>
      </c>
      <c r="H15" s="125">
        <f>H14/H4</f>
        <v>1.6079545454545454E-2</v>
      </c>
      <c r="I15" s="125">
        <f t="shared" si="7"/>
        <v>1.4912931839402429E-2</v>
      </c>
      <c r="J15" s="125">
        <f t="shared" si="7"/>
        <v>1.4388154915434444E-2</v>
      </c>
      <c r="K15" s="157">
        <f>K14/K4</f>
        <v>1.4648741534418275E-2</v>
      </c>
    </row>
    <row r="16" spans="1:14" x14ac:dyDescent="0.3">
      <c r="A16" s="153" t="s">
        <v>0</v>
      </c>
      <c r="B16" s="126">
        <f>B12-B14</f>
        <v>566.27000000000066</v>
      </c>
      <c r="C16" s="126">
        <f t="shared" ref="C16:K16" si="8">C12-C14</f>
        <v>841.65999999999985</v>
      </c>
      <c r="D16" s="126">
        <f t="shared" si="8"/>
        <v>1193.6599999999992</v>
      </c>
      <c r="E16" s="126">
        <f t="shared" si="8"/>
        <v>1421.2999999999995</v>
      </c>
      <c r="F16" s="126">
        <f t="shared" si="8"/>
        <v>1753.6999999999987</v>
      </c>
      <c r="G16" s="126">
        <f t="shared" si="8"/>
        <v>1330.6099999999985</v>
      </c>
      <c r="H16" s="126">
        <f t="shared" si="8"/>
        <v>2004.0000000000018</v>
      </c>
      <c r="I16" s="126">
        <f t="shared" si="8"/>
        <v>3000.3400000000029</v>
      </c>
      <c r="J16" s="126">
        <f t="shared" si="8"/>
        <v>3375.050000000002</v>
      </c>
      <c r="K16" s="158">
        <f t="shared" si="8"/>
        <v>3624.9399999999973</v>
      </c>
    </row>
    <row r="17" spans="1:11" x14ac:dyDescent="0.3">
      <c r="A17" s="155" t="s">
        <v>147</v>
      </c>
      <c r="B17" s="125">
        <f>B16/B4</f>
        <v>6.5968080149114705E-2</v>
      </c>
      <c r="C17" s="125">
        <f t="shared" ref="C17:K17" si="9">C16/C4</f>
        <v>7.0739620104219178E-2</v>
      </c>
      <c r="D17" s="125">
        <f t="shared" si="9"/>
        <v>7.9402647508813887E-2</v>
      </c>
      <c r="E17" s="125">
        <f t="shared" si="9"/>
        <v>7.1047238190452361E-2</v>
      </c>
      <c r="F17" s="125">
        <f t="shared" si="9"/>
        <v>7.051467631684756E-2</v>
      </c>
      <c r="G17" s="125">
        <f t="shared" si="9"/>
        <v>5.5113697552085429E-2</v>
      </c>
      <c r="H17" s="125">
        <f t="shared" si="9"/>
        <v>6.4695247933884356E-2</v>
      </c>
      <c r="I17" s="125">
        <f t="shared" si="9"/>
        <v>7.0035947712418362E-2</v>
      </c>
      <c r="J17" s="125">
        <f t="shared" si="9"/>
        <v>6.645238142117392E-2</v>
      </c>
      <c r="K17" s="157">
        <f t="shared" si="9"/>
        <v>6.1069106101957565E-2</v>
      </c>
    </row>
    <row r="18" spans="1:11" x14ac:dyDescent="0.3">
      <c r="A18" s="153" t="s">
        <v>154</v>
      </c>
      <c r="B18" s="126">
        <f>'Data sheet'!B22</f>
        <v>17.02</v>
      </c>
      <c r="C18" s="126">
        <f>'Data sheet'!C22</f>
        <v>27.7</v>
      </c>
      <c r="D18" s="126">
        <f>'Data sheet'!D22</f>
        <v>87.75</v>
      </c>
      <c r="E18" s="126">
        <f>'Data sheet'!E22</f>
        <v>48.33</v>
      </c>
      <c r="F18" s="126">
        <f>'Data sheet'!F22</f>
        <v>59.99</v>
      </c>
      <c r="G18" s="126">
        <f>'Data sheet'!G22</f>
        <v>194.43</v>
      </c>
      <c r="H18" s="126">
        <f>'Data sheet'!H22</f>
        <v>113.64</v>
      </c>
      <c r="I18" s="126">
        <f>'Data sheet'!I22</f>
        <v>127.6</v>
      </c>
      <c r="J18" s="126">
        <f>'Data sheet'!J22</f>
        <v>144.58000000000001</v>
      </c>
      <c r="K18" s="158">
        <f>'Data sheet'!K22</f>
        <v>117.13</v>
      </c>
    </row>
    <row r="19" spans="1:11" x14ac:dyDescent="0.3">
      <c r="A19" s="153" t="s">
        <v>25</v>
      </c>
      <c r="B19" s="126">
        <f>'Data sheet'!B24</f>
        <v>91.34</v>
      </c>
      <c r="C19" s="126">
        <f>'Data sheet'!C24</f>
        <v>121.98</v>
      </c>
      <c r="D19" s="126">
        <f>'Data sheet'!D24</f>
        <v>59.54</v>
      </c>
      <c r="E19" s="126">
        <f>'Data sheet'!E24</f>
        <v>47.21</v>
      </c>
      <c r="F19" s="126">
        <f>'Data sheet'!F24</f>
        <v>69.12</v>
      </c>
      <c r="G19" s="126">
        <f>'Data sheet'!G24</f>
        <v>41.65</v>
      </c>
      <c r="H19" s="126">
        <f>'Data sheet'!H24</f>
        <v>53.79</v>
      </c>
      <c r="I19" s="126">
        <f>'Data sheet'!I24</f>
        <v>67.41</v>
      </c>
      <c r="J19" s="126">
        <f>'Data sheet'!J24</f>
        <v>58.13</v>
      </c>
      <c r="K19" s="158">
        <f>'Data sheet'!K24</f>
        <v>69.45</v>
      </c>
    </row>
    <row r="20" spans="1:11" x14ac:dyDescent="0.3">
      <c r="A20" s="155" t="s">
        <v>155</v>
      </c>
      <c r="B20" s="127">
        <f>B19/SUM('Raw BS'!D7:D10)</f>
        <v>7.6627516778523488E-2</v>
      </c>
      <c r="C20" s="127">
        <f>C19/SUM('Raw BS'!E7:E10)</f>
        <v>8.1428571428571433E-2</v>
      </c>
      <c r="D20" s="127">
        <f>D19/SUM('Raw BS'!F7:F10)</f>
        <v>0.135626423690205</v>
      </c>
      <c r="E20" s="127">
        <f>E19/SUM('Raw BS'!G7:G10)</f>
        <v>6.7442857142857138E-2</v>
      </c>
      <c r="F20" s="127">
        <f>F19/SUM('Raw BS'!H7:H10)</f>
        <v>0.20756756756756758</v>
      </c>
      <c r="G20" s="127">
        <f>G19/SUM('Raw BS'!I7:I10)</f>
        <v>0.1059796437659033</v>
      </c>
      <c r="H20" s="127">
        <f>H19/SUM('Raw BS'!J7:J10)</f>
        <v>8.313755795981452E-2</v>
      </c>
      <c r="I20" s="127">
        <f>I19/SUM('Raw BS'!K7:K10)</f>
        <v>0.1048367029548989</v>
      </c>
      <c r="J20" s="127">
        <f>J19/SUM('Raw BS'!L7:L10)</f>
        <v>9.8192567567567571E-2</v>
      </c>
      <c r="K20" s="159">
        <f>K19/SUM('Raw BS'!M7:M10)</f>
        <v>8.4695121951219518E-2</v>
      </c>
    </row>
    <row r="21" spans="1:11" x14ac:dyDescent="0.3">
      <c r="A21" s="153" t="s">
        <v>156</v>
      </c>
      <c r="B21" s="126">
        <f>B16-B19+B18</f>
        <v>491.95000000000061</v>
      </c>
      <c r="C21" s="126">
        <f t="shared" ref="C21:K21" si="10">C16-C19+C18</f>
        <v>747.37999999999988</v>
      </c>
      <c r="D21" s="126">
        <f t="shared" si="10"/>
        <v>1221.8699999999992</v>
      </c>
      <c r="E21" s="126">
        <f t="shared" si="10"/>
        <v>1422.4199999999994</v>
      </c>
      <c r="F21" s="126">
        <f t="shared" si="10"/>
        <v>1744.5699999999986</v>
      </c>
      <c r="G21" s="126">
        <f t="shared" si="10"/>
        <v>1483.3899999999985</v>
      </c>
      <c r="H21" s="126">
        <f t="shared" si="10"/>
        <v>2063.8500000000017</v>
      </c>
      <c r="I21" s="126">
        <f t="shared" si="10"/>
        <v>3060.5300000000029</v>
      </c>
      <c r="J21" s="126">
        <f t="shared" si="10"/>
        <v>3461.5000000000018</v>
      </c>
      <c r="K21" s="158">
        <f t="shared" si="10"/>
        <v>3672.6199999999976</v>
      </c>
    </row>
    <row r="22" spans="1:11" x14ac:dyDescent="0.3">
      <c r="A22" s="155" t="s">
        <v>147</v>
      </c>
      <c r="B22" s="125">
        <f>B21/B4</f>
        <v>5.7310111835973974E-2</v>
      </c>
      <c r="C22" s="125">
        <f t="shared" ref="C22:K22" si="11">C21/C4</f>
        <v>6.2815599260379884E-2</v>
      </c>
      <c r="D22" s="125">
        <f t="shared" si="11"/>
        <v>8.1279185791259173E-2</v>
      </c>
      <c r="E22" s="125">
        <f t="shared" si="11"/>
        <v>7.1103224193951486E-2</v>
      </c>
      <c r="F22" s="125">
        <f t="shared" si="11"/>
        <v>7.0147567350221096E-2</v>
      </c>
      <c r="G22" s="125">
        <f t="shared" si="11"/>
        <v>6.1441825788013028E-2</v>
      </c>
      <c r="H22" s="125">
        <f t="shared" si="11"/>
        <v>6.6627388946281049E-2</v>
      </c>
      <c r="I22" s="125">
        <f t="shared" si="11"/>
        <v>7.1440943043884292E-2</v>
      </c>
      <c r="J22" s="125">
        <f t="shared" si="11"/>
        <v>6.8154521648388464E-2</v>
      </c>
      <c r="K22" s="157">
        <f t="shared" si="11"/>
        <v>6.1872367667374195E-2</v>
      </c>
    </row>
    <row r="23" spans="1:11" x14ac:dyDescent="0.3">
      <c r="A23" s="160" t="s">
        <v>27</v>
      </c>
      <c r="B23" s="130">
        <f>'Data sheet'!B26</f>
        <v>171.47</v>
      </c>
      <c r="C23" s="130">
        <f>'Data sheet'!C26</f>
        <v>268.27999999999997</v>
      </c>
      <c r="D23" s="130">
        <f>'Data sheet'!D26</f>
        <v>415.79</v>
      </c>
      <c r="E23" s="130">
        <f>'Data sheet'!E26</f>
        <v>519.48</v>
      </c>
      <c r="F23" s="130">
        <f>'Data sheet'!F26</f>
        <v>443.79</v>
      </c>
      <c r="G23" s="130">
        <f>'Data sheet'!G26</f>
        <v>384.02</v>
      </c>
      <c r="H23" s="130">
        <f>'Data sheet'!H26</f>
        <v>571.72</v>
      </c>
      <c r="I23" s="130">
        <f>'Data sheet'!I26</f>
        <v>681.75</v>
      </c>
      <c r="J23" s="130">
        <f>'Data sheet'!J26</f>
        <v>925.72</v>
      </c>
      <c r="K23" s="161">
        <f>'Data sheet'!K26</f>
        <v>965.22</v>
      </c>
    </row>
    <row r="24" spans="1:11" x14ac:dyDescent="0.3">
      <c r="A24" s="160" t="s">
        <v>28</v>
      </c>
      <c r="B24" s="129">
        <f>B21-B23</f>
        <v>320.48000000000059</v>
      </c>
      <c r="C24" s="129">
        <f t="shared" ref="C24:K24" si="12">C21-C23</f>
        <v>479.09999999999991</v>
      </c>
      <c r="D24" s="129">
        <f t="shared" si="12"/>
        <v>806.07999999999925</v>
      </c>
      <c r="E24" s="129">
        <f t="shared" si="12"/>
        <v>902.93999999999937</v>
      </c>
      <c r="F24" s="129">
        <f t="shared" si="12"/>
        <v>1300.7799999999986</v>
      </c>
      <c r="G24" s="129">
        <f t="shared" si="12"/>
        <v>1099.3699999999985</v>
      </c>
      <c r="H24" s="129">
        <f t="shared" si="12"/>
        <v>1492.1300000000017</v>
      </c>
      <c r="I24" s="129">
        <f t="shared" si="12"/>
        <v>2378.7800000000029</v>
      </c>
      <c r="J24" s="129">
        <f t="shared" si="12"/>
        <v>2535.7800000000016</v>
      </c>
      <c r="K24" s="162">
        <f t="shared" si="12"/>
        <v>2707.3999999999978</v>
      </c>
    </row>
    <row r="25" spans="1:11" x14ac:dyDescent="0.3">
      <c r="A25" s="163" t="s">
        <v>147</v>
      </c>
      <c r="B25" s="164">
        <f>B24/B4</f>
        <v>3.7334575955265681E-2</v>
      </c>
      <c r="C25" s="164">
        <f t="shared" ref="C25:K25" si="13">C24/C4</f>
        <v>4.0267271810388292E-2</v>
      </c>
      <c r="D25" s="164">
        <f t="shared" si="13"/>
        <v>5.3620701124193391E-2</v>
      </c>
      <c r="E25" s="164">
        <f t="shared" si="13"/>
        <v>4.5135716070982226E-2</v>
      </c>
      <c r="F25" s="164">
        <f t="shared" si="13"/>
        <v>5.2303176517892985E-2</v>
      </c>
      <c r="G25" s="164">
        <f t="shared" si="13"/>
        <v>4.5535766060555795E-2</v>
      </c>
      <c r="H25" s="164">
        <f t="shared" si="13"/>
        <v>4.8170519111570304E-2</v>
      </c>
      <c r="I25" s="164">
        <f t="shared" si="13"/>
        <v>5.5527077497665799E-2</v>
      </c>
      <c r="J25" s="164">
        <f t="shared" si="13"/>
        <v>4.9927740258717469E-2</v>
      </c>
      <c r="K25" s="165">
        <f t="shared" si="13"/>
        <v>4.561137504632902E-2</v>
      </c>
    </row>
    <row r="26" spans="1:11" x14ac:dyDescent="0.3">
      <c r="A26" s="51"/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ht="15.6" x14ac:dyDescent="0.3">
      <c r="E27" s="238" t="s">
        <v>187</v>
      </c>
      <c r="F27" s="238"/>
    </row>
    <row r="28" spans="1:11" x14ac:dyDescent="0.3">
      <c r="A28" s="150" t="s">
        <v>123</v>
      </c>
      <c r="B28" s="151">
        <v>42460</v>
      </c>
      <c r="C28" s="151">
        <v>42825</v>
      </c>
      <c r="D28" s="151">
        <v>43190</v>
      </c>
      <c r="E28" s="151">
        <v>43555</v>
      </c>
      <c r="F28" s="151">
        <v>43921</v>
      </c>
      <c r="G28" s="151">
        <v>44286</v>
      </c>
      <c r="H28" s="151">
        <v>44651</v>
      </c>
      <c r="I28" s="151">
        <v>45016</v>
      </c>
      <c r="J28" s="151">
        <v>45382</v>
      </c>
      <c r="K28" s="152">
        <v>45747</v>
      </c>
    </row>
    <row r="29" spans="1:11" x14ac:dyDescent="0.3">
      <c r="A29" s="166" t="s">
        <v>170</v>
      </c>
      <c r="B29" s="167">
        <f>IFERROR('Data sheet'!B54,0)</f>
        <v>561.54</v>
      </c>
      <c r="C29" s="167">
        <f>IFERROR('Data sheet'!C54,0)</f>
        <v>624.08000000000004</v>
      </c>
      <c r="D29" s="167">
        <f>IFERROR('Data sheet'!D54,0)</f>
        <v>624.08000000000004</v>
      </c>
      <c r="E29" s="167">
        <f>IFERROR('Data sheet'!E54,0)</f>
        <v>624.08000000000004</v>
      </c>
      <c r="F29" s="167">
        <f>IFERROR('Data sheet'!F54,0)</f>
        <v>647.77</v>
      </c>
      <c r="G29" s="167">
        <f>IFERROR('Data sheet'!G54,0)</f>
        <v>647.77</v>
      </c>
      <c r="H29" s="167">
        <f>IFERROR('Data sheet'!H54,0)</f>
        <v>647.77</v>
      </c>
      <c r="I29" s="167">
        <f>IFERROR('Data sheet'!I54,0)</f>
        <v>648.26</v>
      </c>
      <c r="J29" s="167">
        <f>IFERROR('Data sheet'!J54,0)</f>
        <v>650.73</v>
      </c>
      <c r="K29" s="168">
        <f>IFERROR('Data sheet'!K54,0)</f>
        <v>650.73</v>
      </c>
    </row>
    <row r="30" spans="1:11" x14ac:dyDescent="0.3">
      <c r="A30" s="166" t="s">
        <v>33</v>
      </c>
      <c r="B30" s="167">
        <f>IFERROR('Data sheet'!B55,0)</f>
        <v>958.9</v>
      </c>
      <c r="C30" s="167">
        <f>IFERROR('Data sheet'!C55,0)</f>
        <v>3217.7</v>
      </c>
      <c r="D30" s="167">
        <f>IFERROR('Data sheet'!D55,0)</f>
        <v>4044.97</v>
      </c>
      <c r="E30" s="167">
        <f>IFERROR('Data sheet'!E55,0)</f>
        <v>4963.37</v>
      </c>
      <c r="F30" s="167">
        <f>IFERROR('Data sheet'!F55,0)</f>
        <v>10431.969999999999</v>
      </c>
      <c r="G30" s="167">
        <f>IFERROR('Data sheet'!G55,0)</f>
        <v>11535.94</v>
      </c>
      <c r="H30" s="167">
        <f>IFERROR('Data sheet'!H55,0)</f>
        <v>13029.87</v>
      </c>
      <c r="I30" s="167">
        <f>IFERROR('Data sheet'!I55,0)</f>
        <v>15430.44</v>
      </c>
      <c r="J30" s="167">
        <f>IFERROR('Data sheet'!J55,0)</f>
        <v>18047.09</v>
      </c>
      <c r="K30" s="168">
        <f>IFERROR('Data sheet'!K55,0)</f>
        <v>20777.02</v>
      </c>
    </row>
    <row r="31" spans="1:11" x14ac:dyDescent="0.3">
      <c r="A31" s="166" t="s">
        <v>171</v>
      </c>
      <c r="B31" s="167">
        <f>IFERROR('Data sheet'!B56,0)</f>
        <v>1192.3399999999999</v>
      </c>
      <c r="C31" s="167">
        <f>IFERROR('Data sheet'!C56,0)</f>
        <v>1497.32</v>
      </c>
      <c r="D31" s="167">
        <f>IFERROR('Data sheet'!D56,0)</f>
        <v>439.25</v>
      </c>
      <c r="E31" s="167">
        <f>IFERROR('Data sheet'!E56,0)</f>
        <v>700.15</v>
      </c>
      <c r="F31" s="167">
        <f>IFERROR('Data sheet'!F56,0)</f>
        <v>333.19</v>
      </c>
      <c r="G31" s="167">
        <f>IFERROR('Data sheet'!G56,0)</f>
        <v>392.71</v>
      </c>
      <c r="H31" s="167">
        <f>IFERROR('Data sheet'!H56,0)</f>
        <v>646.94000000000005</v>
      </c>
      <c r="I31" s="167">
        <f>IFERROR('Data sheet'!I56,0)</f>
        <v>642.98</v>
      </c>
      <c r="J31" s="167">
        <f>IFERROR('Data sheet'!J56,0)</f>
        <v>592.16</v>
      </c>
      <c r="K31" s="168">
        <f>IFERROR('Data sheet'!K56,0)</f>
        <v>819.62</v>
      </c>
    </row>
    <row r="32" spans="1:11" x14ac:dyDescent="0.3">
      <c r="A32" s="166" t="s">
        <v>172</v>
      </c>
      <c r="B32" s="167">
        <f>IFERROR('Data sheet'!B57,0)</f>
        <v>388.78</v>
      </c>
      <c r="C32" s="167">
        <f>IFERROR('Data sheet'!C57,0)</f>
        <v>480.18</v>
      </c>
      <c r="D32" s="167">
        <f>IFERROR('Data sheet'!D57,0)</f>
        <v>539.91999999999996</v>
      </c>
      <c r="E32" s="167">
        <f>IFERROR('Data sheet'!E57,0)</f>
        <v>717.9</v>
      </c>
      <c r="F32" s="167">
        <f>IFERROR('Data sheet'!F57,0)</f>
        <v>663.23</v>
      </c>
      <c r="G32" s="167">
        <f>IFERROR('Data sheet'!G57,0)</f>
        <v>1078.6300000000001</v>
      </c>
      <c r="H32" s="167">
        <f>IFERROR('Data sheet'!H57,0)</f>
        <v>1146.4000000000001</v>
      </c>
      <c r="I32" s="167">
        <f>IFERROR('Data sheet'!I57,0)</f>
        <v>1382.84</v>
      </c>
      <c r="J32" s="167">
        <f>IFERROR('Data sheet'!J57,0)</f>
        <v>1882.5</v>
      </c>
      <c r="K32" s="168">
        <f>IFERROR('Data sheet'!K57,0)</f>
        <v>2065.41</v>
      </c>
    </row>
    <row r="33" spans="1:11" x14ac:dyDescent="0.3">
      <c r="A33" s="169" t="s">
        <v>50</v>
      </c>
      <c r="B33" s="149">
        <f>IFERROR('Data sheet'!B58,0)</f>
        <v>3101.56</v>
      </c>
      <c r="C33" s="149">
        <f>IFERROR('Data sheet'!C58,0)</f>
        <v>5819.28</v>
      </c>
      <c r="D33" s="149">
        <f>IFERROR('Data sheet'!D58,0)</f>
        <v>5648.22</v>
      </c>
      <c r="E33" s="149">
        <f>IFERROR('Data sheet'!E58,0)</f>
        <v>7005.5</v>
      </c>
      <c r="F33" s="149">
        <f>IFERROR('Data sheet'!F58,0)</f>
        <v>12076.16</v>
      </c>
      <c r="G33" s="149">
        <f>IFERROR('Data sheet'!G58,0)</f>
        <v>13655.05</v>
      </c>
      <c r="H33" s="149">
        <f>IFERROR('Data sheet'!H58,0)</f>
        <v>15470.98</v>
      </c>
      <c r="I33" s="149">
        <f>IFERROR('Data sheet'!I58,0)</f>
        <v>18104.52</v>
      </c>
      <c r="J33" s="149">
        <f>IFERROR('Data sheet'!J58,0)</f>
        <v>21172.48</v>
      </c>
      <c r="K33" s="170">
        <f>IFERROR('Data sheet'!K58,0)</f>
        <v>24312.78</v>
      </c>
    </row>
    <row r="34" spans="1:11" x14ac:dyDescent="0.3">
      <c r="A34" s="166"/>
      <c r="B34" s="41"/>
      <c r="C34" s="41"/>
      <c r="D34" s="41"/>
      <c r="E34" s="41"/>
      <c r="F34" s="41"/>
      <c r="G34" s="41"/>
      <c r="H34" s="41"/>
      <c r="I34" s="41"/>
      <c r="J34" s="41"/>
      <c r="K34" s="171"/>
    </row>
    <row r="35" spans="1:11" x14ac:dyDescent="0.3">
      <c r="A35" s="166" t="s">
        <v>188</v>
      </c>
      <c r="B35" s="167">
        <f>IFERROR('Data sheet'!B59,0)</f>
        <v>2093.52</v>
      </c>
      <c r="C35" s="167">
        <f>IFERROR('Data sheet'!C59,0)</f>
        <v>2577.75</v>
      </c>
      <c r="D35" s="167">
        <f>IFERROR('Data sheet'!D59,0)</f>
        <v>3399.97</v>
      </c>
      <c r="E35" s="167">
        <f>IFERROR('Data sheet'!E59,0)</f>
        <v>4400.37</v>
      </c>
      <c r="F35" s="167">
        <f>IFERROR('Data sheet'!F59,0)</f>
        <v>5948.03</v>
      </c>
      <c r="G35" s="167">
        <f>IFERROR('Data sheet'!G59,0)</f>
        <v>7008.8</v>
      </c>
      <c r="H35" s="167">
        <f>IFERROR('Data sheet'!H59,0)</f>
        <v>9260.02</v>
      </c>
      <c r="I35" s="167">
        <f>IFERROR('Data sheet'!I59,0)</f>
        <v>11340.48</v>
      </c>
      <c r="J35" s="167">
        <f>IFERROR('Data sheet'!J59,0)</f>
        <v>13415</v>
      </c>
      <c r="K35" s="168">
        <f>IFERROR('Data sheet'!K59,0)</f>
        <v>16206.46</v>
      </c>
    </row>
    <row r="36" spans="1:11" x14ac:dyDescent="0.3">
      <c r="A36" s="166" t="s">
        <v>174</v>
      </c>
      <c r="B36" s="167">
        <f>IFERROR('Data sheet'!B60,0)</f>
        <v>81.69</v>
      </c>
      <c r="C36" s="167">
        <f>IFERROR('Data sheet'!C60,0)</f>
        <v>152.88999999999999</v>
      </c>
      <c r="D36" s="167">
        <f>IFERROR('Data sheet'!D60,0)</f>
        <v>147.07</v>
      </c>
      <c r="E36" s="167">
        <f>IFERROR('Data sheet'!E60,0)</f>
        <v>376.84</v>
      </c>
      <c r="F36" s="167">
        <f>IFERROR('Data sheet'!F60,0)</f>
        <v>364.4</v>
      </c>
      <c r="G36" s="167">
        <f>IFERROR('Data sheet'!G60,0)</f>
        <v>1019.59</v>
      </c>
      <c r="H36" s="167">
        <f>IFERROR('Data sheet'!H60,0)</f>
        <v>1129.3399999999999</v>
      </c>
      <c r="I36" s="167">
        <f>IFERROR('Data sheet'!I60,0)</f>
        <v>829.16</v>
      </c>
      <c r="J36" s="167">
        <f>IFERROR('Data sheet'!J60,0)</f>
        <v>935.22</v>
      </c>
      <c r="K36" s="168">
        <f>IFERROR('Data sheet'!K60,0)</f>
        <v>1099.3499999999999</v>
      </c>
    </row>
    <row r="37" spans="1:11" x14ac:dyDescent="0.3">
      <c r="A37" s="166" t="s">
        <v>35</v>
      </c>
      <c r="B37" s="167">
        <f>IFERROR('Data sheet'!B61,0)</f>
        <v>29.33</v>
      </c>
      <c r="C37" s="167">
        <f>IFERROR('Data sheet'!C61,0)</f>
        <v>25.69</v>
      </c>
      <c r="D37" s="167">
        <f>IFERROR('Data sheet'!D61,0)</f>
        <v>68.180000000000007</v>
      </c>
      <c r="E37" s="167">
        <f>IFERROR('Data sheet'!E61,0)</f>
        <v>16.53</v>
      </c>
      <c r="F37" s="167">
        <f>IFERROR('Data sheet'!F61,0)</f>
        <v>14.68</v>
      </c>
      <c r="G37" s="167">
        <f>IFERROR('Data sheet'!G61,0)</f>
        <v>2.95</v>
      </c>
      <c r="H37" s="167">
        <f>IFERROR('Data sheet'!H61,0)</f>
        <v>5.94</v>
      </c>
      <c r="I37" s="167">
        <f>IFERROR('Data sheet'!I61,0)</f>
        <v>202.2</v>
      </c>
      <c r="J37" s="167">
        <f>IFERROR('Data sheet'!J61,0)</f>
        <v>106.67</v>
      </c>
      <c r="K37" s="168">
        <f>IFERROR('Data sheet'!K61,0)</f>
        <v>3.26</v>
      </c>
    </row>
    <row r="38" spans="1:11" x14ac:dyDescent="0.3">
      <c r="A38" s="166" t="s">
        <v>175</v>
      </c>
      <c r="B38" s="167">
        <f>IFERROR('Data sheet'!B62-SUM('Data sheet'!B64:B66),0)</f>
        <v>181.80999999999995</v>
      </c>
      <c r="C38" s="167">
        <f>IFERROR('Data sheet'!C62-SUM('Data sheet'!C64:C66),0)</f>
        <v>209.75999999999976</v>
      </c>
      <c r="D38" s="167">
        <f>IFERROR('Data sheet'!D62-SUM('Data sheet'!D64:D66),0)</f>
        <v>275.84999999999991</v>
      </c>
      <c r="E38" s="167">
        <f>IFERROR('Data sheet'!E62-SUM('Data sheet'!E64:E66),0)</f>
        <v>319.6700000000003</v>
      </c>
      <c r="F38" s="167">
        <f>IFERROR('Data sheet'!F62-SUM('Data sheet'!F64:F66),0)</f>
        <v>3674.2200000000003</v>
      </c>
      <c r="G38" s="167">
        <f>IFERROR('Data sheet'!G62-SUM('Data sheet'!G64:G66),0)</f>
        <v>1886.27</v>
      </c>
      <c r="H38" s="167">
        <f>IFERROR('Data sheet'!H62-SUM('Data sheet'!H64:H66),0)</f>
        <v>1967.5500000000006</v>
      </c>
      <c r="I38" s="167">
        <f>IFERROR('Data sheet'!I62-SUM('Data sheet'!I64:I66),0)</f>
        <v>1018.7100000000009</v>
      </c>
      <c r="J38" s="167">
        <f>IFERROR('Data sheet'!J62-SUM('Data sheet'!J64:J66),0)</f>
        <v>1983.7300000000005</v>
      </c>
      <c r="K38" s="168">
        <f>IFERROR('Data sheet'!K62-SUM('Data sheet'!K64:K66),0)</f>
        <v>1447.3500000000004</v>
      </c>
    </row>
    <row r="39" spans="1:11" x14ac:dyDescent="0.3">
      <c r="A39" s="169" t="s">
        <v>189</v>
      </c>
      <c r="B39" s="149">
        <f>SUM(B35:B38)</f>
        <v>2386.35</v>
      </c>
      <c r="C39" s="149">
        <f t="shared" ref="C39:K39" si="14">SUM(C35:C38)</f>
        <v>2966.0899999999997</v>
      </c>
      <c r="D39" s="149">
        <f t="shared" si="14"/>
        <v>3891.0699999999997</v>
      </c>
      <c r="E39" s="149">
        <f t="shared" si="14"/>
        <v>5113.41</v>
      </c>
      <c r="F39" s="149">
        <f t="shared" si="14"/>
        <v>10001.33</v>
      </c>
      <c r="G39" s="149">
        <f t="shared" si="14"/>
        <v>9917.61</v>
      </c>
      <c r="H39" s="149">
        <f t="shared" si="14"/>
        <v>12362.850000000002</v>
      </c>
      <c r="I39" s="149">
        <f t="shared" si="14"/>
        <v>13390.550000000001</v>
      </c>
      <c r="J39" s="149">
        <f t="shared" si="14"/>
        <v>16440.62</v>
      </c>
      <c r="K39" s="170">
        <f t="shared" si="14"/>
        <v>18756.419999999998</v>
      </c>
    </row>
    <row r="40" spans="1:11" x14ac:dyDescent="0.3">
      <c r="A40" s="172"/>
      <c r="B40" s="41"/>
      <c r="C40" s="41"/>
      <c r="D40" s="41"/>
      <c r="E40" s="41"/>
      <c r="F40" s="41"/>
      <c r="G40" s="41"/>
      <c r="H40" s="41"/>
      <c r="I40" s="41"/>
      <c r="J40" s="41"/>
      <c r="K40" s="171"/>
    </row>
    <row r="41" spans="1:11" x14ac:dyDescent="0.3">
      <c r="A41" s="166" t="s">
        <v>36</v>
      </c>
      <c r="B41" s="167">
        <f>IFERROR('Data sheet'!B64,0)</f>
        <v>8.42</v>
      </c>
      <c r="C41" s="167">
        <f>IFERROR('Data sheet'!C64,0)</f>
        <v>21</v>
      </c>
      <c r="D41" s="167">
        <f>IFERROR('Data sheet'!D64,0)</f>
        <v>33.520000000000003</v>
      </c>
      <c r="E41" s="167">
        <f>IFERROR('Data sheet'!E64,0)</f>
        <v>64.37</v>
      </c>
      <c r="F41" s="167">
        <f>IFERROR('Data sheet'!F64,0)</f>
        <v>19.55</v>
      </c>
      <c r="G41" s="167">
        <f>IFERROR('Data sheet'!G64,0)</f>
        <v>43.58</v>
      </c>
      <c r="H41" s="167">
        <f>IFERROR('Data sheet'!H64,0)</f>
        <v>66.89</v>
      </c>
      <c r="I41" s="167">
        <f>IFERROR('Data sheet'!I64,0)</f>
        <v>62.16</v>
      </c>
      <c r="J41" s="167">
        <f>IFERROR('Data sheet'!J64,0)</f>
        <v>166.37</v>
      </c>
      <c r="K41" s="168">
        <f>IFERROR('Data sheet'!K64,0)</f>
        <v>153.79</v>
      </c>
    </row>
    <row r="42" spans="1:11" x14ac:dyDescent="0.3">
      <c r="A42" s="166" t="s">
        <v>37</v>
      </c>
      <c r="B42" s="167">
        <f>IFERROR('Data sheet'!B65,0)</f>
        <v>671.69</v>
      </c>
      <c r="C42" s="167">
        <f>IFERROR('Data sheet'!C65,0)</f>
        <v>947.9</v>
      </c>
      <c r="D42" s="167">
        <f>IFERROR('Data sheet'!D65,0)</f>
        <v>1163.45</v>
      </c>
      <c r="E42" s="167">
        <f>IFERROR('Data sheet'!E65,0)</f>
        <v>1608.65</v>
      </c>
      <c r="F42" s="167">
        <f>IFERROR('Data sheet'!F65,0)</f>
        <v>1947.4</v>
      </c>
      <c r="G42" s="167">
        <f>IFERROR('Data sheet'!G65,0)</f>
        <v>2248.2800000000002</v>
      </c>
      <c r="H42" s="167">
        <f>IFERROR('Data sheet'!H65,0)</f>
        <v>2742.66</v>
      </c>
      <c r="I42" s="167">
        <f>IFERROR('Data sheet'!I65,0)</f>
        <v>3243.48</v>
      </c>
      <c r="J42" s="167">
        <f>IFERROR('Data sheet'!J65,0)</f>
        <v>3927.31</v>
      </c>
      <c r="K42" s="168">
        <f>IFERROR('Data sheet'!K65,0)</f>
        <v>5044.37</v>
      </c>
    </row>
    <row r="43" spans="1:11" x14ac:dyDescent="0.3">
      <c r="A43" s="166" t="s">
        <v>176</v>
      </c>
      <c r="B43" s="167">
        <f>IFERROR('Data sheet'!B66,0)</f>
        <v>35.1</v>
      </c>
      <c r="C43" s="167">
        <f>IFERROR('Data sheet'!C66,0)</f>
        <v>1884.29</v>
      </c>
      <c r="D43" s="167">
        <f>IFERROR('Data sheet'!D66,0)</f>
        <v>560.17999999999995</v>
      </c>
      <c r="E43" s="167">
        <f>IFERROR('Data sheet'!E66,0)</f>
        <v>219.07</v>
      </c>
      <c r="F43" s="167">
        <f>IFERROR('Data sheet'!F66,0)</f>
        <v>107.88</v>
      </c>
      <c r="G43" s="167">
        <f>IFERROR('Data sheet'!G66,0)</f>
        <v>1445.58</v>
      </c>
      <c r="H43" s="167">
        <f>IFERROR('Data sheet'!H66,0)</f>
        <v>298.58</v>
      </c>
      <c r="I43" s="167">
        <f>IFERROR('Data sheet'!I66,0)</f>
        <v>1408.33</v>
      </c>
      <c r="J43" s="167">
        <f>IFERROR('Data sheet'!J66,0)</f>
        <v>638.17999999999995</v>
      </c>
      <c r="K43" s="168">
        <f>IFERROR('Data sheet'!K66,0)</f>
        <v>358.2</v>
      </c>
    </row>
    <row r="44" spans="1:11" x14ac:dyDescent="0.3">
      <c r="A44" s="169" t="s">
        <v>190</v>
      </c>
      <c r="B44" s="149">
        <f>IFERROR(SUM(B41:B43),0)</f>
        <v>715.21</v>
      </c>
      <c r="C44" s="149">
        <f t="shared" ref="C44:K44" si="15">IFERROR(SUM(C41:C43),0)</f>
        <v>2853.19</v>
      </c>
      <c r="D44" s="149">
        <f t="shared" si="15"/>
        <v>1757.15</v>
      </c>
      <c r="E44" s="149">
        <f t="shared" si="15"/>
        <v>1892.09</v>
      </c>
      <c r="F44" s="149">
        <f t="shared" si="15"/>
        <v>2074.83</v>
      </c>
      <c r="G44" s="149">
        <f t="shared" si="15"/>
        <v>3737.44</v>
      </c>
      <c r="H44" s="149">
        <f t="shared" si="15"/>
        <v>3108.1299999999997</v>
      </c>
      <c r="I44" s="149">
        <f t="shared" si="15"/>
        <v>4713.9699999999993</v>
      </c>
      <c r="J44" s="149">
        <f t="shared" si="15"/>
        <v>4731.8599999999997</v>
      </c>
      <c r="K44" s="170">
        <f t="shared" si="15"/>
        <v>5556.36</v>
      </c>
    </row>
    <row r="45" spans="1:11" x14ac:dyDescent="0.3">
      <c r="A45" s="166"/>
      <c r="B45" s="41"/>
      <c r="C45" s="41"/>
      <c r="D45" s="41"/>
      <c r="E45" s="41"/>
      <c r="F45" s="41"/>
      <c r="G45" s="41"/>
      <c r="H45" s="41"/>
      <c r="I45" s="41"/>
      <c r="J45" s="41"/>
      <c r="K45" s="171"/>
    </row>
    <row r="46" spans="1:11" x14ac:dyDescent="0.3">
      <c r="A46" s="169" t="s">
        <v>70</v>
      </c>
      <c r="B46" s="149">
        <f>IFERROR(B44+B39,0)</f>
        <v>3101.56</v>
      </c>
      <c r="C46" s="149">
        <f t="shared" ref="C46:K46" si="16">IFERROR(C44+C39,0)</f>
        <v>5819.28</v>
      </c>
      <c r="D46" s="149">
        <f t="shared" si="16"/>
        <v>5648.2199999999993</v>
      </c>
      <c r="E46" s="149">
        <f t="shared" si="16"/>
        <v>7005.5</v>
      </c>
      <c r="F46" s="149">
        <f t="shared" si="16"/>
        <v>12076.16</v>
      </c>
      <c r="G46" s="149">
        <f t="shared" si="16"/>
        <v>13655.050000000001</v>
      </c>
      <c r="H46" s="149">
        <f t="shared" si="16"/>
        <v>15470.980000000001</v>
      </c>
      <c r="I46" s="149">
        <f t="shared" si="16"/>
        <v>18104.52</v>
      </c>
      <c r="J46" s="149">
        <f t="shared" si="16"/>
        <v>21172.48</v>
      </c>
      <c r="K46" s="170">
        <f t="shared" si="16"/>
        <v>24312.78</v>
      </c>
    </row>
    <row r="47" spans="1:11" x14ac:dyDescent="0.3">
      <c r="A47" s="166"/>
      <c r="B47" s="41"/>
      <c r="C47" s="41"/>
      <c r="D47" s="41"/>
      <c r="E47" s="41"/>
      <c r="F47" s="41"/>
      <c r="G47" s="41"/>
      <c r="H47" s="41"/>
      <c r="I47" s="41"/>
      <c r="J47" s="41"/>
      <c r="K47" s="171"/>
    </row>
    <row r="48" spans="1:11" x14ac:dyDescent="0.3">
      <c r="A48" s="173" t="s">
        <v>191</v>
      </c>
      <c r="B48" s="174" t="b">
        <f>B46=B33</f>
        <v>1</v>
      </c>
      <c r="C48" s="174" t="b">
        <f t="shared" ref="C48:K48" si="17">C46=C33</f>
        <v>1</v>
      </c>
      <c r="D48" s="174" t="b">
        <f t="shared" si="17"/>
        <v>1</v>
      </c>
      <c r="E48" s="174" t="b">
        <f t="shared" si="17"/>
        <v>1</v>
      </c>
      <c r="F48" s="174" t="b">
        <f t="shared" si="17"/>
        <v>1</v>
      </c>
      <c r="G48" s="174" t="b">
        <f t="shared" si="17"/>
        <v>1</v>
      </c>
      <c r="H48" s="174" t="b">
        <f t="shared" si="17"/>
        <v>1</v>
      </c>
      <c r="I48" s="174" t="b">
        <f t="shared" si="17"/>
        <v>1</v>
      </c>
      <c r="J48" s="174" t="b">
        <f t="shared" si="17"/>
        <v>1</v>
      </c>
      <c r="K48" s="175" t="b">
        <f t="shared" si="17"/>
        <v>1</v>
      </c>
    </row>
    <row r="49" spans="1:11" x14ac:dyDescent="0.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spans="1:11" ht="15.6" x14ac:dyDescent="0.3">
      <c r="A50" s="41"/>
      <c r="B50" s="41"/>
      <c r="C50" s="41"/>
      <c r="D50" s="41"/>
      <c r="E50" s="238" t="s">
        <v>192</v>
      </c>
      <c r="F50" s="238"/>
      <c r="G50" s="41"/>
      <c r="H50" s="41"/>
      <c r="I50" s="41"/>
      <c r="J50" s="41"/>
      <c r="K50" s="41"/>
    </row>
    <row r="51" spans="1:11" x14ac:dyDescent="0.3">
      <c r="A51" s="150" t="s">
        <v>123</v>
      </c>
      <c r="B51" s="151">
        <v>42460</v>
      </c>
      <c r="C51" s="151">
        <v>42825</v>
      </c>
      <c r="D51" s="151">
        <v>43190</v>
      </c>
      <c r="E51" s="151">
        <v>43555</v>
      </c>
      <c r="F51" s="151">
        <v>43921</v>
      </c>
      <c r="G51" s="151">
        <v>44286</v>
      </c>
      <c r="H51" s="151">
        <v>44651</v>
      </c>
      <c r="I51" s="151">
        <v>45016</v>
      </c>
      <c r="J51" s="151">
        <v>45382</v>
      </c>
      <c r="K51" s="152">
        <v>45747</v>
      </c>
    </row>
    <row r="52" spans="1:11" x14ac:dyDescent="0.3">
      <c r="A52" s="172"/>
      <c r="B52" s="41"/>
      <c r="C52" s="41"/>
      <c r="D52" s="41"/>
      <c r="E52" s="41"/>
      <c r="F52" s="41"/>
      <c r="G52" s="41"/>
      <c r="H52" s="41"/>
      <c r="I52" s="41"/>
      <c r="J52" s="41"/>
      <c r="K52" s="171"/>
    </row>
    <row r="53" spans="1:11" x14ac:dyDescent="0.3">
      <c r="A53" s="166" t="s">
        <v>193</v>
      </c>
      <c r="B53" s="167">
        <f>'Raw cashflow'!D3</f>
        <v>433</v>
      </c>
      <c r="C53" s="167">
        <f>'Raw cashflow'!E3</f>
        <v>455</v>
      </c>
      <c r="D53" s="167">
        <f>'Raw cashflow'!F3</f>
        <v>730</v>
      </c>
      <c r="E53" s="167">
        <f>'Raw cashflow'!G3</f>
        <v>807</v>
      </c>
      <c r="F53" s="167">
        <f>'Raw cashflow'!H3</f>
        <v>1280</v>
      </c>
      <c r="G53" s="167">
        <f>'Raw cashflow'!I3</f>
        <v>1375</v>
      </c>
      <c r="H53" s="167">
        <f>'Raw cashflow'!J3</f>
        <v>1372</v>
      </c>
      <c r="I53" s="167">
        <f>'Raw cashflow'!K3</f>
        <v>2630</v>
      </c>
      <c r="J53" s="167">
        <f>'Raw cashflow'!L3</f>
        <v>2746</v>
      </c>
      <c r="K53" s="168">
        <f>'Raw cashflow'!M3</f>
        <v>2463</v>
      </c>
    </row>
    <row r="54" spans="1:11" x14ac:dyDescent="0.3">
      <c r="A54" s="166"/>
      <c r="B54" s="41"/>
      <c r="C54" s="41"/>
      <c r="D54" s="41"/>
      <c r="E54" s="41"/>
      <c r="F54" s="41"/>
      <c r="G54" s="41"/>
      <c r="H54" s="41"/>
      <c r="I54" s="41"/>
      <c r="J54" s="41"/>
      <c r="K54" s="171"/>
    </row>
    <row r="55" spans="1:11" x14ac:dyDescent="0.3">
      <c r="A55" s="166" t="s">
        <v>194</v>
      </c>
      <c r="B55" s="167">
        <f>'Raw cashflow'!D13</f>
        <v>-633</v>
      </c>
      <c r="C55" s="167">
        <f>'Raw cashflow'!E13</f>
        <v>-2482</v>
      </c>
      <c r="D55" s="167">
        <f>'Raw cashflow'!F13</f>
        <v>464</v>
      </c>
      <c r="E55" s="167">
        <f>'Raw cashflow'!G13</f>
        <v>-958</v>
      </c>
      <c r="F55" s="167">
        <f>'Raw cashflow'!H13</f>
        <v>-4657</v>
      </c>
      <c r="G55" s="167">
        <f>'Raw cashflow'!I13</f>
        <v>-1110</v>
      </c>
      <c r="H55" s="167">
        <f>'Raw cashflow'!J13</f>
        <v>-1289</v>
      </c>
      <c r="I55" s="167">
        <f>'Raw cashflow'!K13</f>
        <v>-2313</v>
      </c>
      <c r="J55" s="167">
        <f>'Raw cashflow'!L13</f>
        <v>-2468</v>
      </c>
      <c r="K55" s="168">
        <f>'Raw cashflow'!M13</f>
        <v>-2185</v>
      </c>
    </row>
    <row r="56" spans="1:11" x14ac:dyDescent="0.3">
      <c r="A56" s="166"/>
      <c r="B56" s="41"/>
      <c r="C56" s="41"/>
      <c r="D56" s="41"/>
      <c r="E56" s="41"/>
      <c r="F56" s="41"/>
      <c r="G56" s="41"/>
      <c r="H56" s="41"/>
      <c r="I56" s="41"/>
      <c r="J56" s="41"/>
      <c r="K56" s="171"/>
    </row>
    <row r="57" spans="1:11" x14ac:dyDescent="0.3">
      <c r="A57" s="166" t="s">
        <v>195</v>
      </c>
      <c r="B57" s="167">
        <f>'Raw cashflow'!D24</f>
        <v>196</v>
      </c>
      <c r="C57" s="167">
        <f>'Raw cashflow'!E24</f>
        <v>2025</v>
      </c>
      <c r="D57" s="167">
        <f>'Raw cashflow'!F24</f>
        <v>-1159</v>
      </c>
      <c r="E57" s="167">
        <f>'Raw cashflow'!G24</f>
        <v>209</v>
      </c>
      <c r="F57" s="167">
        <f>'Raw cashflow'!H24</f>
        <v>3357</v>
      </c>
      <c r="G57" s="167">
        <f>'Raw cashflow'!I24</f>
        <v>-180</v>
      </c>
      <c r="H57" s="167">
        <f>'Raw cashflow'!J24</f>
        <v>-179</v>
      </c>
      <c r="I57" s="167">
        <f>'Raw cashflow'!K24</f>
        <v>-205</v>
      </c>
      <c r="J57" s="167">
        <f>'Raw cashflow'!L24</f>
        <v>-148</v>
      </c>
      <c r="K57" s="168">
        <f>'Raw cashflow'!M24</f>
        <v>-259</v>
      </c>
    </row>
    <row r="58" spans="1:11" x14ac:dyDescent="0.3">
      <c r="A58" s="166"/>
      <c r="B58" s="41"/>
      <c r="C58" s="41"/>
      <c r="D58" s="41"/>
      <c r="E58" s="41"/>
      <c r="F58" s="41"/>
      <c r="G58" s="41"/>
      <c r="H58" s="41"/>
      <c r="I58" s="41"/>
      <c r="J58" s="41"/>
      <c r="K58" s="171"/>
    </row>
    <row r="59" spans="1:11" x14ac:dyDescent="0.3">
      <c r="A59" s="176" t="s">
        <v>38</v>
      </c>
      <c r="B59" s="177">
        <f>IFERROR(B53+B55+B57,0)</f>
        <v>-4</v>
      </c>
      <c r="C59" s="177">
        <f t="shared" ref="C59:K59" si="18">IFERROR(C53+C55+C57,0)</f>
        <v>-2</v>
      </c>
      <c r="D59" s="177">
        <f t="shared" si="18"/>
        <v>35</v>
      </c>
      <c r="E59" s="177">
        <f t="shared" si="18"/>
        <v>58</v>
      </c>
      <c r="F59" s="177">
        <f t="shared" si="18"/>
        <v>-20</v>
      </c>
      <c r="G59" s="177">
        <f t="shared" si="18"/>
        <v>85</v>
      </c>
      <c r="H59" s="177">
        <f t="shared" si="18"/>
        <v>-96</v>
      </c>
      <c r="I59" s="177">
        <f t="shared" si="18"/>
        <v>112</v>
      </c>
      <c r="J59" s="177">
        <f t="shared" si="18"/>
        <v>130</v>
      </c>
      <c r="K59" s="178">
        <f t="shared" si="18"/>
        <v>19</v>
      </c>
    </row>
  </sheetData>
  <mergeCells count="3">
    <mergeCell ref="E27:F27"/>
    <mergeCell ref="E2:F2"/>
    <mergeCell ref="E50:F50"/>
  </mergeCells>
  <pageMargins left="0.7" right="0.7" top="0.75" bottom="0.75" header="0.3" footer="0.3"/>
  <ignoredErrors>
    <ignoredError sqref="B10 C10:I10 J10:K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1270-6DFF-4C02-9532-4047307CB36B}">
  <dimension ref="A1:N90"/>
  <sheetViews>
    <sheetView topLeftCell="A67" zoomScale="85" zoomScaleNormal="85" workbookViewId="0">
      <pane xSplit="1" topLeftCell="B1" activePane="topRight" state="frozen"/>
      <selection activeCell="A5" sqref="A5"/>
      <selection pane="topRight" activeCell="K67" sqref="K67"/>
    </sheetView>
  </sheetViews>
  <sheetFormatPr defaultRowHeight="14.4" x14ac:dyDescent="0.3"/>
  <cols>
    <col min="1" max="1" width="27.6640625" style="3" bestFit="1" customWidth="1"/>
    <col min="2" max="11" width="13.44140625" style="3" bestFit="1" customWidth="1"/>
    <col min="14" max="14" width="16.21875" bestFit="1" customWidth="1"/>
  </cols>
  <sheetData>
    <row r="1" spans="1:14" x14ac:dyDescent="0.3">
      <c r="A1" s="2" t="s">
        <v>4</v>
      </c>
      <c r="B1" s="2" t="s">
        <v>5</v>
      </c>
      <c r="C1" s="2"/>
      <c r="D1" s="2"/>
      <c r="E1" s="240" t="str">
        <f>IF(B2&lt;&gt;B3, "A NEW VERSION OF THE WORKSHEET IS AVAILABLE", "")</f>
        <v/>
      </c>
      <c r="F1" s="240"/>
      <c r="G1" s="240"/>
      <c r="H1" s="240"/>
      <c r="I1" s="240"/>
      <c r="J1" s="240"/>
      <c r="K1" s="240"/>
    </row>
    <row r="2" spans="1:14" x14ac:dyDescent="0.3">
      <c r="A2" s="2" t="s">
        <v>6</v>
      </c>
      <c r="B2" s="3">
        <v>2.1</v>
      </c>
      <c r="E2" s="241" t="s">
        <v>7</v>
      </c>
      <c r="F2" s="241"/>
      <c r="G2" s="241"/>
      <c r="H2" s="241"/>
      <c r="I2" s="241"/>
      <c r="J2" s="241"/>
      <c r="K2" s="241"/>
    </row>
    <row r="3" spans="1:14" x14ac:dyDescent="0.3">
      <c r="A3" s="2" t="s">
        <v>8</v>
      </c>
      <c r="B3" s="3">
        <v>2.1</v>
      </c>
    </row>
    <row r="4" spans="1:14" x14ac:dyDescent="0.3">
      <c r="A4" s="2"/>
    </row>
    <row r="5" spans="1:14" x14ac:dyDescent="0.3">
      <c r="A5" s="2" t="s">
        <v>9</v>
      </c>
    </row>
    <row r="6" spans="1:14" x14ac:dyDescent="0.3">
      <c r="A6" s="3" t="s">
        <v>10</v>
      </c>
      <c r="B6" s="3">
        <f>IF(B9&gt;0, B9/B8, 0)</f>
        <v>65.208830022075048</v>
      </c>
    </row>
    <row r="7" spans="1:14" x14ac:dyDescent="0.3">
      <c r="A7" s="3" t="s">
        <v>11</v>
      </c>
      <c r="B7" s="4">
        <v>10</v>
      </c>
    </row>
    <row r="8" spans="1:14" x14ac:dyDescent="0.3">
      <c r="A8" s="3" t="s">
        <v>12</v>
      </c>
      <c r="B8" s="229">
        <v>4530</v>
      </c>
      <c r="D8" s="3" t="s">
        <v>223</v>
      </c>
    </row>
    <row r="9" spans="1:14" x14ac:dyDescent="0.3">
      <c r="A9" s="3" t="s">
        <v>13</v>
      </c>
      <c r="B9" s="229">
        <v>295396</v>
      </c>
    </row>
    <row r="12" spans="1:14" x14ac:dyDescent="0.3">
      <c r="A12" s="2" t="s">
        <v>14</v>
      </c>
    </row>
    <row r="13" spans="1:14" x14ac:dyDescent="0.3">
      <c r="A13" s="5" t="s">
        <v>15</v>
      </c>
      <c r="B13" s="6">
        <v>42460</v>
      </c>
      <c r="C13" s="6">
        <v>42825</v>
      </c>
      <c r="D13" s="6">
        <v>43190</v>
      </c>
      <c r="E13" s="6">
        <v>43555</v>
      </c>
      <c r="F13" s="6">
        <v>43921</v>
      </c>
      <c r="G13" s="6">
        <v>44286</v>
      </c>
      <c r="H13" s="6">
        <v>44651</v>
      </c>
      <c r="I13" s="6">
        <v>45016</v>
      </c>
      <c r="J13" s="6">
        <v>45382</v>
      </c>
      <c r="K13" s="6">
        <v>45747</v>
      </c>
    </row>
    <row r="14" spans="1:14" x14ac:dyDescent="0.3">
      <c r="A14" s="3" t="s">
        <v>16</v>
      </c>
      <c r="B14" s="4">
        <v>8583.76</v>
      </c>
      <c r="C14" s="4">
        <v>11897.7</v>
      </c>
      <c r="D14" s="4">
        <v>15033.2</v>
      </c>
      <c r="E14" s="4">
        <v>20004.52</v>
      </c>
      <c r="F14" s="4">
        <v>24870.2</v>
      </c>
      <c r="G14" s="4">
        <v>24143.06</v>
      </c>
      <c r="H14" s="4">
        <v>30976.27</v>
      </c>
      <c r="I14" s="4">
        <v>42839.56</v>
      </c>
      <c r="J14" s="4">
        <v>50788.83</v>
      </c>
      <c r="K14" s="4">
        <v>59358.05</v>
      </c>
    </row>
    <row r="15" spans="1:14" x14ac:dyDescent="0.3">
      <c r="A15" s="88" t="s">
        <v>17</v>
      </c>
      <c r="B15" s="4">
        <v>7435.62</v>
      </c>
      <c r="C15" s="4">
        <v>10357.25</v>
      </c>
      <c r="D15" s="4">
        <v>12846.95</v>
      </c>
      <c r="E15" s="4">
        <v>17445.490000000002</v>
      </c>
      <c r="F15" s="4">
        <v>21441.68</v>
      </c>
      <c r="G15" s="4">
        <v>20855.560000000001</v>
      </c>
      <c r="H15" s="4">
        <v>26891.77</v>
      </c>
      <c r="I15" s="4">
        <v>36884.769999999997</v>
      </c>
      <c r="J15" s="4">
        <v>43958.31</v>
      </c>
      <c r="K15" s="4">
        <v>51668.76</v>
      </c>
    </row>
    <row r="16" spans="1:14" x14ac:dyDescent="0.3">
      <c r="A16" s="88" t="s">
        <v>18</v>
      </c>
      <c r="B16" s="4">
        <v>132.08000000000001</v>
      </c>
      <c r="C16" s="4">
        <v>276.22000000000003</v>
      </c>
      <c r="D16" s="4">
        <v>211.31</v>
      </c>
      <c r="E16" s="4">
        <v>444.65</v>
      </c>
      <c r="F16" s="4">
        <v>338.75</v>
      </c>
      <c r="G16" s="4">
        <v>300.88</v>
      </c>
      <c r="H16" s="4">
        <v>494.38</v>
      </c>
      <c r="I16" s="4">
        <v>500.82</v>
      </c>
      <c r="J16" s="4">
        <v>683.77</v>
      </c>
      <c r="K16" s="4">
        <v>1117.06</v>
      </c>
      <c r="N16" s="87"/>
    </row>
    <row r="17" spans="1:14" x14ac:dyDescent="0.3">
      <c r="A17" s="88" t="s">
        <v>19</v>
      </c>
      <c r="B17" s="4">
        <v>79.239999999999995</v>
      </c>
      <c r="C17" s="4">
        <v>99.41</v>
      </c>
      <c r="D17" s="4">
        <v>121.26</v>
      </c>
      <c r="E17" s="4">
        <v>152.80000000000001</v>
      </c>
      <c r="F17" s="4">
        <v>188.24</v>
      </c>
      <c r="G17" s="4">
        <v>174.2</v>
      </c>
      <c r="H17" s="4">
        <v>207.86</v>
      </c>
      <c r="I17" s="4">
        <v>314.62</v>
      </c>
      <c r="J17" s="4">
        <v>376.59</v>
      </c>
      <c r="K17" s="4">
        <v>447.75</v>
      </c>
    </row>
    <row r="18" spans="1:14" x14ac:dyDescent="0.3">
      <c r="A18" s="90" t="s">
        <v>20</v>
      </c>
      <c r="B18" s="4">
        <v>241.36</v>
      </c>
      <c r="C18" s="4">
        <v>332.9</v>
      </c>
      <c r="D18" s="4">
        <v>373.72</v>
      </c>
      <c r="E18" s="4">
        <v>499.72</v>
      </c>
      <c r="F18" s="4">
        <v>645.96</v>
      </c>
      <c r="G18" s="4">
        <v>746.43</v>
      </c>
      <c r="H18" s="4">
        <v>805.85</v>
      </c>
      <c r="I18" s="4">
        <v>1116.56</v>
      </c>
      <c r="J18" s="4">
        <v>1323.43</v>
      </c>
      <c r="K18" s="4">
        <v>1751.85</v>
      </c>
      <c r="N18" s="89"/>
    </row>
    <row r="19" spans="1:14" x14ac:dyDescent="0.3">
      <c r="A19" s="90" t="s">
        <v>21</v>
      </c>
      <c r="B19" s="4">
        <v>149.04</v>
      </c>
      <c r="C19" s="4">
        <v>192.67</v>
      </c>
      <c r="D19" s="4">
        <v>283.14</v>
      </c>
      <c r="E19" s="4">
        <v>356.17</v>
      </c>
      <c r="F19" s="4">
        <v>457.14</v>
      </c>
      <c r="G19" s="4">
        <v>537.58000000000004</v>
      </c>
      <c r="H19" s="4">
        <v>617.36</v>
      </c>
      <c r="I19" s="4">
        <v>748.16</v>
      </c>
      <c r="J19" s="4">
        <v>907.82</v>
      </c>
      <c r="K19" s="4">
        <v>1167.47</v>
      </c>
    </row>
    <row r="20" spans="1:14" x14ac:dyDescent="0.3">
      <c r="A20" s="90" t="s">
        <v>22</v>
      </c>
      <c r="B20" s="4">
        <v>647.37</v>
      </c>
      <c r="C20" s="4">
        <v>71.239999999999995</v>
      </c>
      <c r="D20" s="4">
        <v>96</v>
      </c>
      <c r="E20" s="4">
        <v>135.84</v>
      </c>
      <c r="F20" s="4">
        <v>66.400000000000006</v>
      </c>
      <c r="G20" s="4">
        <v>108.69</v>
      </c>
      <c r="H20" s="4">
        <v>143.41</v>
      </c>
      <c r="I20" s="4">
        <v>212.04</v>
      </c>
      <c r="J20" s="4">
        <v>274.43</v>
      </c>
      <c r="K20" s="4">
        <v>312.48</v>
      </c>
    </row>
    <row r="21" spans="1:14" x14ac:dyDescent="0.3">
      <c r="A21" s="3" t="s">
        <v>23</v>
      </c>
      <c r="B21" s="4">
        <v>-501.25</v>
      </c>
      <c r="C21" s="4">
        <v>151.27000000000001</v>
      </c>
      <c r="D21" s="4">
        <v>170.58</v>
      </c>
      <c r="E21" s="4">
        <v>225.84</v>
      </c>
      <c r="F21" s="4">
        <v>281.22000000000003</v>
      </c>
      <c r="G21" s="4">
        <v>276.64999999999998</v>
      </c>
      <c r="H21" s="4">
        <v>302.05</v>
      </c>
      <c r="I21" s="4">
        <v>425.46</v>
      </c>
      <c r="J21" s="4">
        <v>526.38</v>
      </c>
      <c r="K21" s="4">
        <v>632.29</v>
      </c>
      <c r="M21" s="56"/>
    </row>
    <row r="22" spans="1:14" x14ac:dyDescent="0.3">
      <c r="A22" s="3" t="s">
        <v>24</v>
      </c>
      <c r="B22" s="4">
        <v>17.02</v>
      </c>
      <c r="C22" s="4">
        <v>27.7</v>
      </c>
      <c r="D22" s="4">
        <v>87.75</v>
      </c>
      <c r="E22" s="4">
        <v>48.33</v>
      </c>
      <c r="F22" s="4">
        <v>59.99</v>
      </c>
      <c r="G22" s="4">
        <v>194.43</v>
      </c>
      <c r="H22" s="4">
        <v>113.64</v>
      </c>
      <c r="I22" s="4">
        <v>127.6</v>
      </c>
      <c r="J22" s="4">
        <v>144.58000000000001</v>
      </c>
      <c r="K22" s="4">
        <v>117.13</v>
      </c>
    </row>
    <row r="23" spans="1:14" x14ac:dyDescent="0.3">
      <c r="A23" s="3" t="s">
        <v>1</v>
      </c>
      <c r="B23" s="4">
        <v>98.43</v>
      </c>
      <c r="C23" s="4">
        <v>127.82</v>
      </c>
      <c r="D23" s="4">
        <v>159</v>
      </c>
      <c r="E23" s="4">
        <v>212.49</v>
      </c>
      <c r="F23" s="4">
        <v>374.41</v>
      </c>
      <c r="G23" s="4">
        <v>414.16</v>
      </c>
      <c r="H23" s="4">
        <v>498.08</v>
      </c>
      <c r="I23" s="4">
        <v>638.87</v>
      </c>
      <c r="J23" s="4">
        <v>730.76</v>
      </c>
      <c r="K23" s="4">
        <v>869.52</v>
      </c>
    </row>
    <row r="24" spans="1:14" x14ac:dyDescent="0.3">
      <c r="A24" s="3" t="s">
        <v>25</v>
      </c>
      <c r="B24" s="4">
        <v>91.34</v>
      </c>
      <c r="C24" s="4">
        <v>121.98</v>
      </c>
      <c r="D24" s="4">
        <v>59.54</v>
      </c>
      <c r="E24" s="4">
        <v>47.21</v>
      </c>
      <c r="F24" s="4">
        <v>69.12</v>
      </c>
      <c r="G24" s="4">
        <v>41.65</v>
      </c>
      <c r="H24" s="4">
        <v>53.79</v>
      </c>
      <c r="I24" s="4">
        <v>67.41</v>
      </c>
      <c r="J24" s="4">
        <v>58.13</v>
      </c>
      <c r="K24" s="4">
        <v>69.45</v>
      </c>
    </row>
    <row r="25" spans="1:14" x14ac:dyDescent="0.3">
      <c r="A25" s="3" t="s">
        <v>26</v>
      </c>
      <c r="B25" s="4">
        <v>491.71</v>
      </c>
      <c r="C25" s="4">
        <v>747.08</v>
      </c>
      <c r="D25" s="4">
        <v>1222.07</v>
      </c>
      <c r="E25" s="4">
        <v>1421.94</v>
      </c>
      <c r="F25" s="4">
        <v>1744.77</v>
      </c>
      <c r="G25" s="4">
        <v>1483.45</v>
      </c>
      <c r="H25" s="4">
        <v>2064.12</v>
      </c>
      <c r="I25" s="4">
        <v>3060.09</v>
      </c>
      <c r="J25" s="4">
        <v>3461.33</v>
      </c>
      <c r="K25" s="4">
        <v>3672.67</v>
      </c>
    </row>
    <row r="26" spans="1:14" x14ac:dyDescent="0.3">
      <c r="A26" s="3" t="s">
        <v>27</v>
      </c>
      <c r="B26" s="4">
        <v>171.47</v>
      </c>
      <c r="C26" s="4">
        <v>268.27999999999997</v>
      </c>
      <c r="D26" s="4">
        <v>415.79</v>
      </c>
      <c r="E26" s="4">
        <v>519.48</v>
      </c>
      <c r="F26" s="4">
        <v>443.79</v>
      </c>
      <c r="G26" s="4">
        <v>384.02</v>
      </c>
      <c r="H26" s="4">
        <v>571.72</v>
      </c>
      <c r="I26" s="4">
        <v>681.75</v>
      </c>
      <c r="J26" s="4">
        <v>925.72</v>
      </c>
      <c r="K26" s="4">
        <v>965.22</v>
      </c>
    </row>
    <row r="27" spans="1:14" x14ac:dyDescent="0.3">
      <c r="A27" s="3" t="s">
        <v>28</v>
      </c>
      <c r="B27" s="4">
        <v>320.24</v>
      </c>
      <c r="C27" s="4">
        <v>478.75</v>
      </c>
      <c r="D27" s="4">
        <v>806.26</v>
      </c>
      <c r="E27" s="4">
        <v>902.54</v>
      </c>
      <c r="F27" s="4">
        <v>1301.08</v>
      </c>
      <c r="G27" s="4">
        <v>1099.49</v>
      </c>
      <c r="H27" s="4">
        <v>1492.55</v>
      </c>
      <c r="I27" s="4">
        <v>2378.5100000000002</v>
      </c>
      <c r="J27" s="4">
        <v>2536.17</v>
      </c>
      <c r="K27" s="4">
        <v>2708.02</v>
      </c>
    </row>
    <row r="28" spans="1:14" x14ac:dyDescent="0.3">
      <c r="A28" s="3" t="s">
        <v>29</v>
      </c>
    </row>
    <row r="29" spans="1:14" x14ac:dyDescent="0.3">
      <c r="A29" s="7" t="s">
        <v>30</v>
      </c>
      <c r="B29" s="8">
        <f>B26/B25</f>
        <v>0.34872180756950238</v>
      </c>
      <c r="C29" s="8">
        <f>C26/C25</f>
        <v>0.35910478128179041</v>
      </c>
      <c r="D29" s="8">
        <f t="shared" ref="D29:K29" si="0">D26/D25</f>
        <v>0.3402341928040129</v>
      </c>
      <c r="E29" s="8">
        <f t="shared" si="0"/>
        <v>0.36533187054306088</v>
      </c>
      <c r="F29" s="8">
        <f t="shared" si="0"/>
        <v>0.25435444213277397</v>
      </c>
      <c r="G29" s="8">
        <f t="shared" si="0"/>
        <v>0.25886952711584482</v>
      </c>
      <c r="H29" s="8">
        <f t="shared" si="0"/>
        <v>0.27698002054144144</v>
      </c>
      <c r="I29" s="8">
        <f t="shared" si="0"/>
        <v>0.22278756507161554</v>
      </c>
      <c r="J29" s="8">
        <f t="shared" si="0"/>
        <v>0.26744632843444571</v>
      </c>
      <c r="K29" s="8">
        <f t="shared" si="0"/>
        <v>0.2628115240410927</v>
      </c>
    </row>
    <row r="31" spans="1:14" x14ac:dyDescent="0.3">
      <c r="A31" s="7" t="s">
        <v>31</v>
      </c>
      <c r="B31" s="3">
        <f>+B27+B26+B24+B23</f>
        <v>681.48</v>
      </c>
      <c r="C31" s="3">
        <f t="shared" ref="C31:K31" si="1">+C27+C26+C24+C23</f>
        <v>996.82999999999993</v>
      </c>
      <c r="D31" s="3">
        <f t="shared" si="1"/>
        <v>1440.59</v>
      </c>
      <c r="E31" s="3">
        <f t="shared" si="1"/>
        <v>1681.72</v>
      </c>
      <c r="F31" s="3">
        <f t="shared" si="1"/>
        <v>2188.3999999999996</v>
      </c>
      <c r="G31" s="3">
        <f t="shared" si="1"/>
        <v>1939.3200000000002</v>
      </c>
      <c r="H31" s="3">
        <f t="shared" si="1"/>
        <v>2616.14</v>
      </c>
      <c r="I31" s="3">
        <f t="shared" si="1"/>
        <v>3766.54</v>
      </c>
      <c r="J31" s="3">
        <f t="shared" si="1"/>
        <v>4250.7800000000007</v>
      </c>
      <c r="K31" s="3">
        <f t="shared" si="1"/>
        <v>4612.2099999999991</v>
      </c>
    </row>
    <row r="33" spans="1:11" x14ac:dyDescent="0.3">
      <c r="A33" s="3" t="s">
        <v>32</v>
      </c>
      <c r="B33" s="3">
        <v>5.7</v>
      </c>
      <c r="C33" s="3">
        <v>7.67</v>
      </c>
      <c r="D33" s="3">
        <v>12.92</v>
      </c>
      <c r="E33" s="3">
        <v>14.46</v>
      </c>
      <c r="F33" s="3">
        <v>20.09</v>
      </c>
      <c r="G33" s="3">
        <v>16.97</v>
      </c>
      <c r="H33" s="3">
        <v>23.04</v>
      </c>
      <c r="I33" s="3">
        <v>36.69</v>
      </c>
      <c r="J33" s="3">
        <v>38.97</v>
      </c>
      <c r="K33" s="3">
        <v>41.61</v>
      </c>
    </row>
    <row r="35" spans="1:11" x14ac:dyDescent="0.3">
      <c r="B35" s="3">
        <f>B14-SUM(B15:B21)</f>
        <v>400.30000000000109</v>
      </c>
    </row>
    <row r="37" spans="1:11" x14ac:dyDescent="0.3">
      <c r="A37" s="2" t="s">
        <v>166</v>
      </c>
    </row>
    <row r="38" spans="1:11" x14ac:dyDescent="0.3">
      <c r="A38" s="5" t="s">
        <v>15</v>
      </c>
      <c r="B38" s="6">
        <v>45199</v>
      </c>
      <c r="C38" s="6">
        <v>45291</v>
      </c>
      <c r="D38" s="6">
        <v>45382</v>
      </c>
      <c r="E38" s="6">
        <v>45473</v>
      </c>
      <c r="F38" s="6">
        <v>45565</v>
      </c>
      <c r="G38" s="6">
        <v>45657</v>
      </c>
      <c r="H38" s="6">
        <v>45747</v>
      </c>
      <c r="I38" s="6">
        <v>45838</v>
      </c>
      <c r="J38" s="6">
        <v>45930</v>
      </c>
      <c r="K38" s="6">
        <v>46022</v>
      </c>
    </row>
    <row r="39" spans="1:11" x14ac:dyDescent="0.3">
      <c r="A39" s="3" t="s">
        <v>16</v>
      </c>
      <c r="B39" s="4">
        <v>12624.37</v>
      </c>
      <c r="C39" s="4">
        <v>13572.47</v>
      </c>
      <c r="D39" s="4">
        <v>12726.55</v>
      </c>
      <c r="E39" s="4">
        <v>14069.14</v>
      </c>
      <c r="F39" s="4">
        <v>14444.5</v>
      </c>
      <c r="G39" s="4">
        <v>15972.55</v>
      </c>
      <c r="H39" s="4">
        <v>14871.86</v>
      </c>
      <c r="I39" s="4">
        <v>16359.7</v>
      </c>
      <c r="J39" s="4">
        <v>16676.3</v>
      </c>
      <c r="K39" s="4">
        <v>18100.88</v>
      </c>
    </row>
    <row r="40" spans="1:11" x14ac:dyDescent="0.3">
      <c r="A40" s="3" t="s">
        <v>167</v>
      </c>
      <c r="B40" s="4">
        <v>11619.4</v>
      </c>
      <c r="C40" s="4">
        <v>12452.58</v>
      </c>
      <c r="D40" s="4">
        <v>11782.91</v>
      </c>
      <c r="E40" s="4">
        <v>12847.89</v>
      </c>
      <c r="F40" s="4">
        <v>13350.73</v>
      </c>
      <c r="G40" s="4">
        <v>14755.31</v>
      </c>
      <c r="H40" s="4">
        <v>13916.79</v>
      </c>
      <c r="I40" s="4">
        <v>15060.66</v>
      </c>
      <c r="J40" s="4">
        <v>15462.65</v>
      </c>
      <c r="K40" s="4">
        <v>16637.509999999998</v>
      </c>
    </row>
    <row r="41" spans="1:11" x14ac:dyDescent="0.3">
      <c r="A41" s="3" t="s">
        <v>24</v>
      </c>
      <c r="B41" s="4">
        <v>36.92</v>
      </c>
      <c r="C41" s="4">
        <v>32.92</v>
      </c>
      <c r="D41" s="4">
        <v>37.869999999999997</v>
      </c>
      <c r="E41" s="4">
        <v>41.6</v>
      </c>
      <c r="F41" s="4">
        <v>33.520000000000003</v>
      </c>
      <c r="G41" s="4">
        <v>24.14</v>
      </c>
      <c r="H41" s="4">
        <v>25.05</v>
      </c>
      <c r="I41" s="4">
        <v>19.43</v>
      </c>
      <c r="J41" s="4">
        <v>19.57</v>
      </c>
      <c r="K41" s="4">
        <v>16.93</v>
      </c>
    </row>
    <row r="42" spans="1:11" x14ac:dyDescent="0.3">
      <c r="A42" s="3" t="s">
        <v>1</v>
      </c>
      <c r="B42" s="4">
        <v>174.36</v>
      </c>
      <c r="C42" s="4">
        <v>189.33</v>
      </c>
      <c r="D42" s="4">
        <v>204.89</v>
      </c>
      <c r="E42" s="4">
        <v>192.76</v>
      </c>
      <c r="F42" s="4">
        <v>207.78</v>
      </c>
      <c r="G42" s="4">
        <v>228.12</v>
      </c>
      <c r="H42" s="4">
        <v>240.86</v>
      </c>
      <c r="I42" s="4">
        <v>231.7</v>
      </c>
      <c r="J42" s="4">
        <v>253.47</v>
      </c>
      <c r="K42" s="4">
        <v>268.29000000000002</v>
      </c>
    </row>
    <row r="43" spans="1:11" x14ac:dyDescent="0.3">
      <c r="A43" s="3" t="s">
        <v>25</v>
      </c>
      <c r="B43" s="4">
        <v>15.59</v>
      </c>
      <c r="C43" s="4">
        <v>14.55</v>
      </c>
      <c r="D43" s="4">
        <v>13.42</v>
      </c>
      <c r="E43" s="4">
        <v>15.96</v>
      </c>
      <c r="F43" s="4">
        <v>16.32</v>
      </c>
      <c r="G43" s="4">
        <v>18.21</v>
      </c>
      <c r="H43" s="4">
        <v>18.96</v>
      </c>
      <c r="I43" s="4">
        <v>29.3</v>
      </c>
      <c r="J43" s="4">
        <v>34.96</v>
      </c>
      <c r="K43" s="4">
        <v>36.82</v>
      </c>
    </row>
    <row r="44" spans="1:11" x14ac:dyDescent="0.3">
      <c r="A44" s="3" t="s">
        <v>26</v>
      </c>
      <c r="B44" s="4">
        <v>851.94</v>
      </c>
      <c r="C44" s="4">
        <v>948.93</v>
      </c>
      <c r="D44" s="4">
        <v>763.2</v>
      </c>
      <c r="E44" s="4">
        <v>1054.1300000000001</v>
      </c>
      <c r="F44" s="4">
        <v>903.19</v>
      </c>
      <c r="G44" s="4">
        <v>995.05</v>
      </c>
      <c r="H44" s="4">
        <v>720.3</v>
      </c>
      <c r="I44" s="4">
        <v>1057.47</v>
      </c>
      <c r="J44" s="4">
        <v>944.79</v>
      </c>
      <c r="K44" s="4">
        <v>1175.19</v>
      </c>
    </row>
    <row r="45" spans="1:11" x14ac:dyDescent="0.3">
      <c r="A45" s="3" t="s">
        <v>27</v>
      </c>
      <c r="B45" s="4">
        <v>228.59</v>
      </c>
      <c r="C45" s="4">
        <v>258.52</v>
      </c>
      <c r="D45" s="4">
        <v>200.06</v>
      </c>
      <c r="E45" s="4">
        <v>280.45</v>
      </c>
      <c r="F45" s="4">
        <v>243.75</v>
      </c>
      <c r="G45" s="4">
        <v>271.51</v>
      </c>
      <c r="H45" s="4">
        <v>169.51</v>
      </c>
      <c r="I45" s="4">
        <v>284.66000000000003</v>
      </c>
      <c r="J45" s="4">
        <v>259.94</v>
      </c>
      <c r="K45" s="4">
        <v>319.41000000000003</v>
      </c>
    </row>
    <row r="46" spans="1:11" x14ac:dyDescent="0.3">
      <c r="A46" s="3" t="s">
        <v>28</v>
      </c>
      <c r="B46" s="4">
        <v>623.55999999999995</v>
      </c>
      <c r="C46" s="4">
        <v>690.61</v>
      </c>
      <c r="D46" s="4">
        <v>563.25</v>
      </c>
      <c r="E46" s="4">
        <v>773.82</v>
      </c>
      <c r="F46" s="4">
        <v>659.58</v>
      </c>
      <c r="G46" s="4">
        <v>723.72</v>
      </c>
      <c r="H46" s="4">
        <v>550.9</v>
      </c>
      <c r="I46" s="4">
        <v>772.97</v>
      </c>
      <c r="J46" s="4">
        <v>685.01</v>
      </c>
      <c r="K46" s="4">
        <v>855.92</v>
      </c>
    </row>
    <row r="47" spans="1:11" x14ac:dyDescent="0.3">
      <c r="A47" s="3" t="s">
        <v>168</v>
      </c>
      <c r="B47" s="4">
        <v>1004.97</v>
      </c>
      <c r="C47" s="4">
        <v>1119.8900000000001</v>
      </c>
      <c r="D47" s="4">
        <v>943.64</v>
      </c>
      <c r="E47" s="4">
        <v>1221.25</v>
      </c>
      <c r="F47" s="4">
        <v>1093.77</v>
      </c>
      <c r="G47" s="4">
        <v>1217.24</v>
      </c>
      <c r="H47" s="4">
        <v>955.07</v>
      </c>
      <c r="I47" s="4">
        <v>1299.04</v>
      </c>
      <c r="J47" s="4">
        <v>1213.6500000000001</v>
      </c>
      <c r="K47" s="4">
        <v>1463.37</v>
      </c>
    </row>
    <row r="48" spans="1:11" x14ac:dyDescent="0.3">
      <c r="A48" s="3" t="s">
        <v>31</v>
      </c>
      <c r="B48" s="3">
        <f>B46+B45+B43+B42</f>
        <v>1042.0999999999999</v>
      </c>
      <c r="C48" s="3">
        <f t="shared" ref="C48:K48" si="2">C46+C45+C43+C42</f>
        <v>1153.01</v>
      </c>
      <c r="D48" s="3">
        <f t="shared" si="2"/>
        <v>981.61999999999989</v>
      </c>
      <c r="E48" s="3">
        <f t="shared" si="2"/>
        <v>1262.99</v>
      </c>
      <c r="F48" s="3">
        <f t="shared" si="2"/>
        <v>1127.43</v>
      </c>
      <c r="G48" s="3">
        <f t="shared" si="2"/>
        <v>1241.56</v>
      </c>
      <c r="H48" s="3">
        <f t="shared" si="2"/>
        <v>980.23</v>
      </c>
      <c r="I48" s="3">
        <f t="shared" si="2"/>
        <v>1318.63</v>
      </c>
      <c r="J48" s="3">
        <f t="shared" si="2"/>
        <v>1233.3800000000001</v>
      </c>
      <c r="K48" s="3">
        <f t="shared" si="2"/>
        <v>1480.4399999999998</v>
      </c>
    </row>
    <row r="52" spans="1:11" x14ac:dyDescent="0.3">
      <c r="A52" s="2" t="s">
        <v>169</v>
      </c>
    </row>
    <row r="53" spans="1:11" x14ac:dyDescent="0.3">
      <c r="A53" s="5" t="s">
        <v>15</v>
      </c>
      <c r="B53" s="6">
        <v>42460</v>
      </c>
      <c r="C53" s="6">
        <v>42825</v>
      </c>
      <c r="D53" s="6">
        <v>43190</v>
      </c>
      <c r="E53" s="6">
        <v>43555</v>
      </c>
      <c r="F53" s="6">
        <v>43921</v>
      </c>
      <c r="G53" s="6">
        <v>44286</v>
      </c>
      <c r="H53" s="6">
        <v>44651</v>
      </c>
      <c r="I53" s="6">
        <v>45016</v>
      </c>
      <c r="J53" s="6">
        <v>45382</v>
      </c>
      <c r="K53" s="6">
        <v>45747</v>
      </c>
    </row>
    <row r="54" spans="1:11" x14ac:dyDescent="0.3">
      <c r="A54" s="3" t="s">
        <v>170</v>
      </c>
      <c r="B54" s="4">
        <v>561.54</v>
      </c>
      <c r="C54" s="4">
        <v>624.08000000000004</v>
      </c>
      <c r="D54" s="4">
        <v>624.08000000000004</v>
      </c>
      <c r="E54" s="4">
        <v>624.08000000000004</v>
      </c>
      <c r="F54" s="4">
        <v>647.77</v>
      </c>
      <c r="G54" s="4">
        <v>647.77</v>
      </c>
      <c r="H54" s="4">
        <v>647.77</v>
      </c>
      <c r="I54" s="4">
        <v>648.26</v>
      </c>
      <c r="J54" s="4">
        <v>650.73</v>
      </c>
      <c r="K54" s="4">
        <v>650.73</v>
      </c>
    </row>
    <row r="55" spans="1:11" x14ac:dyDescent="0.3">
      <c r="A55" s="3" t="s">
        <v>33</v>
      </c>
      <c r="B55" s="4">
        <v>958.9</v>
      </c>
      <c r="C55" s="4">
        <v>3217.7</v>
      </c>
      <c r="D55" s="4">
        <v>4044.97</v>
      </c>
      <c r="E55" s="4">
        <v>4963.37</v>
      </c>
      <c r="F55" s="4">
        <v>10431.969999999999</v>
      </c>
      <c r="G55" s="4">
        <v>11535.94</v>
      </c>
      <c r="H55" s="4">
        <v>13029.87</v>
      </c>
      <c r="I55" s="4">
        <v>15430.44</v>
      </c>
      <c r="J55" s="4">
        <v>18047.09</v>
      </c>
      <c r="K55" s="4">
        <v>20777.02</v>
      </c>
    </row>
    <row r="56" spans="1:11" x14ac:dyDescent="0.3">
      <c r="A56" s="3" t="s">
        <v>171</v>
      </c>
      <c r="B56" s="4">
        <v>1192.3399999999999</v>
      </c>
      <c r="C56" s="4">
        <v>1497.32</v>
      </c>
      <c r="D56" s="4">
        <v>439.25</v>
      </c>
      <c r="E56" s="4">
        <v>700.15</v>
      </c>
      <c r="F56" s="4">
        <v>333.19</v>
      </c>
      <c r="G56" s="4">
        <v>392.71</v>
      </c>
      <c r="H56" s="4">
        <v>646.94000000000005</v>
      </c>
      <c r="I56" s="4">
        <v>642.98</v>
      </c>
      <c r="J56" s="4">
        <v>592.16</v>
      </c>
      <c r="K56" s="4">
        <v>819.62</v>
      </c>
    </row>
    <row r="57" spans="1:11" x14ac:dyDescent="0.3">
      <c r="A57" s="3" t="s">
        <v>172</v>
      </c>
      <c r="B57" s="4">
        <v>388.78</v>
      </c>
      <c r="C57" s="4">
        <v>480.18</v>
      </c>
      <c r="D57" s="4">
        <v>539.91999999999996</v>
      </c>
      <c r="E57" s="4">
        <v>717.9</v>
      </c>
      <c r="F57" s="4">
        <v>663.23</v>
      </c>
      <c r="G57" s="4">
        <v>1078.6300000000001</v>
      </c>
      <c r="H57" s="4">
        <v>1146.4000000000001</v>
      </c>
      <c r="I57" s="4">
        <v>1382.84</v>
      </c>
      <c r="J57" s="4">
        <v>1882.5</v>
      </c>
      <c r="K57" s="4">
        <v>2065.41</v>
      </c>
    </row>
    <row r="58" spans="1:11" x14ac:dyDescent="0.3">
      <c r="A58" s="2" t="s">
        <v>173</v>
      </c>
      <c r="B58" s="147">
        <v>3101.56</v>
      </c>
      <c r="C58" s="147">
        <v>5819.28</v>
      </c>
      <c r="D58" s="147">
        <v>5648.22</v>
      </c>
      <c r="E58" s="147">
        <v>7005.5</v>
      </c>
      <c r="F58" s="147">
        <v>12076.16</v>
      </c>
      <c r="G58" s="147">
        <v>13655.05</v>
      </c>
      <c r="H58" s="147">
        <v>15470.98</v>
      </c>
      <c r="I58" s="147">
        <v>18104.52</v>
      </c>
      <c r="J58" s="147">
        <v>21172.48</v>
      </c>
      <c r="K58" s="147">
        <v>24312.78</v>
      </c>
    </row>
    <row r="59" spans="1:11" x14ac:dyDescent="0.3">
      <c r="A59" s="3" t="s">
        <v>34</v>
      </c>
      <c r="B59" s="4">
        <v>2093.52</v>
      </c>
      <c r="C59" s="4">
        <v>2577.75</v>
      </c>
      <c r="D59" s="4">
        <v>3399.97</v>
      </c>
      <c r="E59" s="4">
        <v>4400.37</v>
      </c>
      <c r="F59" s="4">
        <v>5948.03</v>
      </c>
      <c r="G59" s="4">
        <v>7008.8</v>
      </c>
      <c r="H59" s="4">
        <v>9260.02</v>
      </c>
      <c r="I59" s="4">
        <v>11340.48</v>
      </c>
      <c r="J59" s="4">
        <v>13415</v>
      </c>
      <c r="K59" s="4">
        <v>16206.46</v>
      </c>
    </row>
    <row r="60" spans="1:11" x14ac:dyDescent="0.3">
      <c r="A60" s="3" t="s">
        <v>174</v>
      </c>
      <c r="B60" s="4">
        <v>81.69</v>
      </c>
      <c r="C60" s="4">
        <v>152.88999999999999</v>
      </c>
      <c r="D60" s="4">
        <v>147.07</v>
      </c>
      <c r="E60" s="4">
        <v>376.84</v>
      </c>
      <c r="F60" s="4">
        <v>364.4</v>
      </c>
      <c r="G60" s="4">
        <v>1019.59</v>
      </c>
      <c r="H60" s="4">
        <v>1129.3399999999999</v>
      </c>
      <c r="I60" s="4">
        <v>829.16</v>
      </c>
      <c r="J60" s="4">
        <v>935.22</v>
      </c>
      <c r="K60" s="4">
        <v>1099.3499999999999</v>
      </c>
    </row>
    <row r="61" spans="1:11" x14ac:dyDescent="0.3">
      <c r="A61" s="3" t="s">
        <v>35</v>
      </c>
      <c r="B61" s="4">
        <v>29.33</v>
      </c>
      <c r="C61" s="4">
        <v>25.69</v>
      </c>
      <c r="D61" s="4">
        <v>68.180000000000007</v>
      </c>
      <c r="E61" s="4">
        <v>16.53</v>
      </c>
      <c r="F61" s="4">
        <v>14.68</v>
      </c>
      <c r="G61" s="4">
        <v>2.95</v>
      </c>
      <c r="H61" s="4">
        <v>5.94</v>
      </c>
      <c r="I61" s="4">
        <v>202.2</v>
      </c>
      <c r="J61" s="4">
        <v>106.67</v>
      </c>
      <c r="K61" s="4">
        <v>3.26</v>
      </c>
    </row>
    <row r="62" spans="1:11" x14ac:dyDescent="0.3">
      <c r="A62" s="3" t="s">
        <v>175</v>
      </c>
      <c r="B62" s="4">
        <v>897.02</v>
      </c>
      <c r="C62" s="4">
        <v>3062.95</v>
      </c>
      <c r="D62" s="4">
        <v>2033</v>
      </c>
      <c r="E62" s="4">
        <v>2211.7600000000002</v>
      </c>
      <c r="F62" s="4">
        <v>5749.05</v>
      </c>
      <c r="G62" s="4">
        <v>5623.71</v>
      </c>
      <c r="H62" s="4">
        <v>5075.68</v>
      </c>
      <c r="I62" s="4">
        <v>5732.68</v>
      </c>
      <c r="J62" s="4">
        <v>6715.59</v>
      </c>
      <c r="K62" s="4">
        <v>7003.71</v>
      </c>
    </row>
    <row r="63" spans="1:11" x14ac:dyDescent="0.3">
      <c r="A63" s="2" t="s">
        <v>173</v>
      </c>
      <c r="B63" s="147">
        <v>3101.56</v>
      </c>
      <c r="C63" s="147">
        <v>5819.28</v>
      </c>
      <c r="D63" s="147">
        <v>5648.22</v>
      </c>
      <c r="E63" s="147">
        <v>7005.5</v>
      </c>
      <c r="F63" s="147">
        <v>12076.16</v>
      </c>
      <c r="G63" s="147">
        <v>13655.05</v>
      </c>
      <c r="H63" s="147">
        <v>15470.98</v>
      </c>
      <c r="I63" s="147">
        <v>18104.52</v>
      </c>
      <c r="J63" s="147">
        <v>21172.48</v>
      </c>
      <c r="K63" s="147">
        <v>24312.78</v>
      </c>
    </row>
    <row r="64" spans="1:11" x14ac:dyDescent="0.3">
      <c r="A64" s="3" t="s">
        <v>36</v>
      </c>
      <c r="B64" s="4">
        <v>8.42</v>
      </c>
      <c r="C64" s="4">
        <v>21</v>
      </c>
      <c r="D64" s="4">
        <v>33.520000000000003</v>
      </c>
      <c r="E64" s="4">
        <v>64.37</v>
      </c>
      <c r="F64" s="4">
        <v>19.55</v>
      </c>
      <c r="G64" s="4">
        <v>43.58</v>
      </c>
      <c r="H64" s="4">
        <v>66.89</v>
      </c>
      <c r="I64" s="4">
        <v>62.16</v>
      </c>
      <c r="J64" s="4">
        <v>166.37</v>
      </c>
      <c r="K64" s="4">
        <v>153.79</v>
      </c>
    </row>
    <row r="65" spans="1:11" x14ac:dyDescent="0.3">
      <c r="A65" s="3" t="s">
        <v>37</v>
      </c>
      <c r="B65" s="4">
        <v>671.69</v>
      </c>
      <c r="C65" s="4">
        <v>947.9</v>
      </c>
      <c r="D65" s="4">
        <v>1163.45</v>
      </c>
      <c r="E65" s="4">
        <v>1608.65</v>
      </c>
      <c r="F65" s="4">
        <v>1947.4</v>
      </c>
      <c r="G65" s="4">
        <v>2248.2800000000002</v>
      </c>
      <c r="H65" s="4">
        <v>2742.66</v>
      </c>
      <c r="I65" s="4">
        <v>3243.48</v>
      </c>
      <c r="J65" s="4">
        <v>3927.31</v>
      </c>
      <c r="K65" s="4">
        <v>5044.37</v>
      </c>
    </row>
    <row r="66" spans="1:11" x14ac:dyDescent="0.3">
      <c r="A66" s="3" t="s">
        <v>176</v>
      </c>
      <c r="B66" s="4">
        <v>35.1</v>
      </c>
      <c r="C66" s="4">
        <v>1884.29</v>
      </c>
      <c r="D66" s="4">
        <v>560.17999999999995</v>
      </c>
      <c r="E66" s="4">
        <v>219.07</v>
      </c>
      <c r="F66" s="4">
        <v>107.88</v>
      </c>
      <c r="G66" s="4">
        <v>1445.58</v>
      </c>
      <c r="H66" s="4">
        <v>298.58</v>
      </c>
      <c r="I66" s="4">
        <v>1408.33</v>
      </c>
      <c r="J66" s="4">
        <v>638.17999999999995</v>
      </c>
      <c r="K66" s="4">
        <v>358.2</v>
      </c>
    </row>
    <row r="67" spans="1:11" x14ac:dyDescent="0.3">
      <c r="A67" s="3" t="s">
        <v>177</v>
      </c>
      <c r="B67" s="4">
        <v>561542680</v>
      </c>
      <c r="C67" s="4">
        <v>624084486</v>
      </c>
      <c r="D67" s="4">
        <v>624084486</v>
      </c>
      <c r="E67" s="4">
        <v>624084486</v>
      </c>
      <c r="F67" s="4">
        <v>647774691</v>
      </c>
      <c r="G67" s="4">
        <v>647774691</v>
      </c>
      <c r="H67" s="4">
        <v>647774691</v>
      </c>
      <c r="I67" s="4">
        <v>648263978</v>
      </c>
      <c r="J67" s="4">
        <v>650733068</v>
      </c>
      <c r="K67" s="4">
        <v>650733068</v>
      </c>
    </row>
    <row r="68" spans="1:11" x14ac:dyDescent="0.3">
      <c r="A68" s="3" t="s">
        <v>178</v>
      </c>
    </row>
    <row r="69" spans="1:11" x14ac:dyDescent="0.3">
      <c r="A69" s="3" t="s">
        <v>179</v>
      </c>
      <c r="B69" s="4">
        <v>10</v>
      </c>
      <c r="C69" s="4">
        <v>10</v>
      </c>
      <c r="D69" s="4">
        <v>10</v>
      </c>
      <c r="E69" s="4">
        <v>10</v>
      </c>
      <c r="F69" s="4">
        <v>10</v>
      </c>
      <c r="G69" s="4">
        <v>10</v>
      </c>
      <c r="H69" s="4">
        <v>10</v>
      </c>
      <c r="I69" s="4">
        <v>10</v>
      </c>
      <c r="J69" s="4">
        <v>10</v>
      </c>
      <c r="K69" s="4">
        <v>10</v>
      </c>
    </row>
    <row r="77" spans="1:11" x14ac:dyDescent="0.3">
      <c r="A77" s="2" t="s">
        <v>180</v>
      </c>
    </row>
    <row r="78" spans="1:11" x14ac:dyDescent="0.3">
      <c r="A78" s="5" t="s">
        <v>15</v>
      </c>
      <c r="B78" s="6">
        <v>42460</v>
      </c>
      <c r="C78" s="6">
        <v>42825</v>
      </c>
      <c r="D78" s="6">
        <v>43190</v>
      </c>
      <c r="E78" s="6">
        <v>43555</v>
      </c>
      <c r="F78" s="6">
        <v>43921</v>
      </c>
      <c r="G78" s="6">
        <v>44286</v>
      </c>
      <c r="H78" s="6">
        <v>44651</v>
      </c>
      <c r="I78" s="6">
        <v>45016</v>
      </c>
      <c r="J78" s="6">
        <v>45382</v>
      </c>
      <c r="K78" s="6">
        <v>45747</v>
      </c>
    </row>
    <row r="79" spans="1:11" x14ac:dyDescent="0.3">
      <c r="A79" s="3" t="s">
        <v>181</v>
      </c>
      <c r="B79" s="4">
        <v>433.47</v>
      </c>
      <c r="C79" s="4">
        <v>455.28</v>
      </c>
      <c r="D79" s="4">
        <v>729.99</v>
      </c>
      <c r="E79" s="4">
        <v>806.84</v>
      </c>
      <c r="F79" s="4">
        <v>1280.1400000000001</v>
      </c>
      <c r="G79" s="4">
        <v>1375.14</v>
      </c>
      <c r="H79" s="4">
        <v>1372.35</v>
      </c>
      <c r="I79" s="4">
        <v>2630.27</v>
      </c>
      <c r="J79" s="4">
        <v>2745.84</v>
      </c>
      <c r="K79" s="4">
        <v>2462.9699999999998</v>
      </c>
    </row>
    <row r="80" spans="1:11" x14ac:dyDescent="0.3">
      <c r="A80" s="3" t="s">
        <v>182</v>
      </c>
      <c r="B80" s="4">
        <v>-632.89</v>
      </c>
      <c r="C80" s="4">
        <v>-2481.61</v>
      </c>
      <c r="D80" s="4">
        <v>463.55</v>
      </c>
      <c r="E80" s="4">
        <v>-958.37</v>
      </c>
      <c r="F80" s="4">
        <v>-4656.5600000000004</v>
      </c>
      <c r="G80" s="4">
        <v>-1110</v>
      </c>
      <c r="H80" s="4">
        <v>-1289.49</v>
      </c>
      <c r="I80" s="4">
        <v>-2313.1</v>
      </c>
      <c r="J80" s="4">
        <v>-2468.23</v>
      </c>
      <c r="K80" s="4">
        <v>-2185.31</v>
      </c>
    </row>
    <row r="81" spans="1:11" x14ac:dyDescent="0.3">
      <c r="A81" s="3" t="s">
        <v>183</v>
      </c>
      <c r="B81" s="4">
        <v>196.44</v>
      </c>
      <c r="C81" s="4">
        <v>2025.26</v>
      </c>
      <c r="D81" s="4">
        <v>-1159.06</v>
      </c>
      <c r="E81" s="4">
        <v>208.98</v>
      </c>
      <c r="F81" s="4">
        <v>3357.42</v>
      </c>
      <c r="G81" s="4">
        <v>-179.5</v>
      </c>
      <c r="H81" s="4">
        <v>-179.24</v>
      </c>
      <c r="I81" s="4">
        <v>-205.14</v>
      </c>
      <c r="J81" s="4">
        <v>-147.63999999999999</v>
      </c>
      <c r="K81" s="4">
        <v>-259.3</v>
      </c>
    </row>
    <row r="82" spans="1:11" x14ac:dyDescent="0.3">
      <c r="A82" s="3" t="s">
        <v>38</v>
      </c>
      <c r="B82" s="4">
        <v>-2.98</v>
      </c>
      <c r="C82" s="4">
        <v>-1.07</v>
      </c>
      <c r="D82" s="4">
        <v>34.479999999999997</v>
      </c>
      <c r="E82" s="4">
        <v>57.45</v>
      </c>
      <c r="F82" s="4">
        <v>-19</v>
      </c>
      <c r="G82" s="4">
        <v>85.64</v>
      </c>
      <c r="H82" s="4">
        <v>-96.38</v>
      </c>
      <c r="I82" s="4">
        <v>112.03</v>
      </c>
      <c r="J82" s="4">
        <v>129.97</v>
      </c>
      <c r="K82" s="4">
        <v>18.36</v>
      </c>
    </row>
    <row r="87" spans="1:11" x14ac:dyDescent="0.3">
      <c r="A87" s="2" t="s">
        <v>184</v>
      </c>
      <c r="B87" s="2"/>
      <c r="C87" s="4">
        <v>637.85</v>
      </c>
      <c r="D87" s="4">
        <v>1324.8</v>
      </c>
      <c r="E87" s="4">
        <v>1471.1</v>
      </c>
      <c r="F87" s="4">
        <v>2187.5</v>
      </c>
      <c r="G87" s="4">
        <v>2859.05</v>
      </c>
      <c r="H87" s="4">
        <v>4003.35</v>
      </c>
      <c r="I87" s="4">
        <v>3401.05</v>
      </c>
      <c r="J87" s="4">
        <v>4525.6000000000004</v>
      </c>
      <c r="K87" s="4">
        <v>4083.2</v>
      </c>
    </row>
    <row r="89" spans="1:11" x14ac:dyDescent="0.3">
      <c r="A89" s="2" t="s">
        <v>185</v>
      </c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3" t="s">
        <v>186</v>
      </c>
      <c r="B90" s="148">
        <v>56.15</v>
      </c>
      <c r="C90" s="148">
        <v>62.41</v>
      </c>
      <c r="D90" s="148">
        <v>62.41</v>
      </c>
      <c r="E90" s="148">
        <v>62.41</v>
      </c>
      <c r="F90" s="148">
        <v>64.78</v>
      </c>
      <c r="G90" s="148">
        <v>64.78</v>
      </c>
      <c r="H90" s="148">
        <v>64.78</v>
      </c>
      <c r="I90" s="148">
        <v>64.83</v>
      </c>
      <c r="J90" s="148">
        <v>65.069999999999993</v>
      </c>
      <c r="K90" s="148">
        <v>65.069999999999993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FEDBBFFB-4D6F-4635-B7D4-069E920F94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15D0-19D2-4949-A5BB-BFBCA6CFF9F7}">
  <dimension ref="A1:P54"/>
  <sheetViews>
    <sheetView zoomScale="80" zoomScaleNormal="80" workbookViewId="0">
      <pane ySplit="2" topLeftCell="A15" activePane="bottomLeft" state="frozen"/>
      <selection pane="bottomLeft" activeCell="L65" sqref="L65"/>
    </sheetView>
  </sheetViews>
  <sheetFormatPr defaultRowHeight="14.4" x14ac:dyDescent="0.3"/>
  <cols>
    <col min="1" max="1" width="27.77734375" bestFit="1" customWidth="1"/>
    <col min="13" max="13" width="8.77734375" bestFit="1" customWidth="1"/>
  </cols>
  <sheetData>
    <row r="1" spans="1:13" ht="21" x14ac:dyDescent="0.4">
      <c r="A1" s="242" t="s">
        <v>102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</row>
    <row r="2" spans="1:13" x14ac:dyDescent="0.3">
      <c r="A2" s="9" t="s">
        <v>39</v>
      </c>
      <c r="B2" s="10">
        <v>41699</v>
      </c>
      <c r="C2" s="10">
        <v>42064</v>
      </c>
      <c r="D2" s="10">
        <v>42430</v>
      </c>
      <c r="E2" s="10">
        <v>42795</v>
      </c>
      <c r="F2" s="10">
        <v>43160</v>
      </c>
      <c r="G2" s="10">
        <v>43525</v>
      </c>
      <c r="H2" s="10">
        <v>43891</v>
      </c>
      <c r="I2" s="10">
        <v>44256</v>
      </c>
      <c r="J2" s="10">
        <v>44621</v>
      </c>
      <c r="K2" s="10">
        <v>44986</v>
      </c>
      <c r="L2" s="10">
        <v>45352</v>
      </c>
      <c r="M2" s="10">
        <v>45717</v>
      </c>
    </row>
    <row r="4" spans="1:13" x14ac:dyDescent="0.3">
      <c r="A4" s="11" t="s">
        <v>40</v>
      </c>
      <c r="B4" s="12">
        <v>547</v>
      </c>
      <c r="C4" s="12">
        <v>562</v>
      </c>
      <c r="D4" s="12">
        <v>562</v>
      </c>
      <c r="E4" s="12">
        <v>624</v>
      </c>
      <c r="F4" s="12">
        <v>624</v>
      </c>
      <c r="G4" s="12">
        <v>624</v>
      </c>
      <c r="H4" s="12">
        <v>648</v>
      </c>
      <c r="I4" s="12">
        <v>648</v>
      </c>
      <c r="J4" s="12">
        <v>648</v>
      </c>
      <c r="K4" s="12">
        <v>648</v>
      </c>
      <c r="L4" s="12">
        <v>651</v>
      </c>
      <c r="M4" s="12">
        <v>651</v>
      </c>
    </row>
    <row r="5" spans="1:13" x14ac:dyDescent="0.3">
      <c r="A5" s="11" t="s">
        <v>33</v>
      </c>
      <c r="B5" s="12">
        <v>409</v>
      </c>
      <c r="C5" s="12">
        <v>638</v>
      </c>
      <c r="D5" s="12">
        <v>959</v>
      </c>
      <c r="E5" s="12">
        <v>3218</v>
      </c>
      <c r="F5" s="12">
        <v>4045</v>
      </c>
      <c r="G5" s="12">
        <v>4963</v>
      </c>
      <c r="H5" s="12">
        <v>10432</v>
      </c>
      <c r="I5" s="12">
        <v>11536</v>
      </c>
      <c r="J5" s="12">
        <v>13030</v>
      </c>
      <c r="K5" s="12">
        <v>15430</v>
      </c>
      <c r="L5" s="12">
        <v>18047</v>
      </c>
      <c r="M5" s="12">
        <v>20777</v>
      </c>
    </row>
    <row r="6" spans="1:13" x14ac:dyDescent="0.3">
      <c r="A6" s="11" t="s">
        <v>41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3">
      <c r="A7" t="s">
        <v>42</v>
      </c>
      <c r="B7" s="12"/>
      <c r="C7" s="12"/>
      <c r="D7" s="12">
        <v>908</v>
      </c>
      <c r="E7" s="12">
        <v>981</v>
      </c>
      <c r="F7" s="12">
        <v>246</v>
      </c>
      <c r="G7" s="12">
        <v>126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</row>
    <row r="8" spans="1:13" x14ac:dyDescent="0.3">
      <c r="A8" t="s">
        <v>43</v>
      </c>
      <c r="B8" s="12"/>
      <c r="C8" s="12"/>
      <c r="D8" s="12">
        <v>129</v>
      </c>
      <c r="E8" s="12">
        <v>139</v>
      </c>
      <c r="F8" s="12">
        <v>7</v>
      </c>
      <c r="G8" s="12">
        <v>304</v>
      </c>
      <c r="H8" s="12">
        <v>4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</row>
    <row r="9" spans="1:13" x14ac:dyDescent="0.3">
      <c r="A9" t="s">
        <v>44</v>
      </c>
      <c r="B9" s="12"/>
      <c r="C9" s="12"/>
      <c r="D9" s="12">
        <v>0</v>
      </c>
      <c r="E9" s="12">
        <v>0</v>
      </c>
      <c r="F9" s="12">
        <v>0</v>
      </c>
      <c r="G9" s="12">
        <v>0</v>
      </c>
      <c r="H9" s="12">
        <v>295</v>
      </c>
      <c r="I9" s="12">
        <v>393</v>
      </c>
      <c r="J9" s="12">
        <v>647</v>
      </c>
      <c r="K9" s="12">
        <v>643</v>
      </c>
      <c r="L9" s="12">
        <v>592</v>
      </c>
      <c r="M9" s="12">
        <v>820</v>
      </c>
    </row>
    <row r="10" spans="1:13" x14ac:dyDescent="0.3">
      <c r="A10" t="s">
        <v>45</v>
      </c>
      <c r="B10" s="12">
        <v>641</v>
      </c>
      <c r="C10" s="12">
        <v>904</v>
      </c>
      <c r="D10" s="12">
        <v>155</v>
      </c>
      <c r="E10" s="12">
        <v>378</v>
      </c>
      <c r="F10" s="12">
        <v>186</v>
      </c>
      <c r="G10" s="12">
        <v>270</v>
      </c>
      <c r="H10" s="12">
        <v>34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</row>
    <row r="11" spans="1:13" x14ac:dyDescent="0.3">
      <c r="A11" s="11" t="s">
        <v>46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3">
      <c r="A12" t="s">
        <v>47</v>
      </c>
      <c r="B12" s="12">
        <v>0</v>
      </c>
      <c r="C12" s="12">
        <v>0</v>
      </c>
      <c r="D12" s="12">
        <v>0</v>
      </c>
      <c r="E12" s="12">
        <v>0</v>
      </c>
      <c r="F12" s="12">
        <v>1</v>
      </c>
      <c r="G12" s="12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-1</v>
      </c>
    </row>
    <row r="13" spans="1:13" x14ac:dyDescent="0.3">
      <c r="A13" t="s">
        <v>48</v>
      </c>
      <c r="B13" s="12">
        <v>123</v>
      </c>
      <c r="C13" s="12">
        <v>119</v>
      </c>
      <c r="D13" s="12">
        <v>194</v>
      </c>
      <c r="E13" s="12">
        <v>261</v>
      </c>
      <c r="F13" s="12">
        <v>317</v>
      </c>
      <c r="G13" s="12">
        <v>463</v>
      </c>
      <c r="H13" s="12">
        <v>433</v>
      </c>
      <c r="I13" s="12">
        <v>578</v>
      </c>
      <c r="J13" s="12">
        <v>589</v>
      </c>
      <c r="K13" s="12">
        <v>754</v>
      </c>
      <c r="L13" s="12">
        <v>985</v>
      </c>
      <c r="M13" s="12">
        <v>1071</v>
      </c>
    </row>
    <row r="14" spans="1:13" x14ac:dyDescent="0.3">
      <c r="A14" t="s">
        <v>49</v>
      </c>
      <c r="B14" s="13">
        <v>89</v>
      </c>
      <c r="C14" s="13">
        <v>133</v>
      </c>
      <c r="D14" s="13">
        <v>194</v>
      </c>
      <c r="E14" s="13">
        <v>219</v>
      </c>
      <c r="F14" s="13">
        <v>222</v>
      </c>
      <c r="G14" s="13">
        <v>254</v>
      </c>
      <c r="H14" s="13">
        <v>229</v>
      </c>
      <c r="I14" s="13">
        <v>500</v>
      </c>
      <c r="J14" s="13">
        <v>557</v>
      </c>
      <c r="K14" s="13">
        <v>629</v>
      </c>
      <c r="L14" s="13">
        <v>898</v>
      </c>
      <c r="M14" s="13">
        <v>996</v>
      </c>
    </row>
    <row r="15" spans="1:13" x14ac:dyDescent="0.3">
      <c r="A15" s="14" t="s">
        <v>50</v>
      </c>
      <c r="B15" s="15">
        <v>1808</v>
      </c>
      <c r="C15" s="15">
        <v>2355</v>
      </c>
      <c r="D15" s="15">
        <v>3102</v>
      </c>
      <c r="E15" s="15">
        <v>5819</v>
      </c>
      <c r="F15" s="15">
        <v>5648</v>
      </c>
      <c r="G15" s="15">
        <v>7006</v>
      </c>
      <c r="H15" s="15">
        <v>12076</v>
      </c>
      <c r="I15" s="15">
        <v>13655</v>
      </c>
      <c r="J15" s="15">
        <v>15471</v>
      </c>
      <c r="K15" s="15">
        <v>18105</v>
      </c>
      <c r="L15" s="15">
        <v>21172</v>
      </c>
      <c r="M15" s="15">
        <v>24313</v>
      </c>
    </row>
    <row r="16" spans="1:13" x14ac:dyDescent="0.3">
      <c r="A16" s="11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">
      <c r="A17" s="11" t="s">
        <v>51</v>
      </c>
      <c r="B17" s="12">
        <v>1172</v>
      </c>
      <c r="C17" s="12">
        <v>1528</v>
      </c>
      <c r="D17" s="12">
        <v>2094</v>
      </c>
      <c r="E17" s="12">
        <v>2578</v>
      </c>
      <c r="F17" s="12">
        <v>3400</v>
      </c>
      <c r="G17" s="12">
        <v>4400</v>
      </c>
      <c r="H17" s="12">
        <v>5948</v>
      </c>
      <c r="I17" s="12">
        <v>7009</v>
      </c>
      <c r="J17" s="12">
        <v>9260</v>
      </c>
      <c r="K17" s="12">
        <v>11340</v>
      </c>
      <c r="L17" s="12">
        <v>13415</v>
      </c>
      <c r="M17" s="12">
        <v>16206</v>
      </c>
    </row>
    <row r="18" spans="1:13" x14ac:dyDescent="0.3">
      <c r="A18" t="s">
        <v>52</v>
      </c>
      <c r="B18" s="12">
        <v>460</v>
      </c>
      <c r="C18" s="12">
        <v>602</v>
      </c>
      <c r="D18" s="12">
        <v>784</v>
      </c>
      <c r="E18" s="12">
        <v>1044</v>
      </c>
      <c r="F18" s="12">
        <v>1438</v>
      </c>
      <c r="G18" s="12">
        <v>2028</v>
      </c>
      <c r="H18" s="12">
        <v>2740</v>
      </c>
      <c r="I18" s="12">
        <v>3483</v>
      </c>
      <c r="J18" s="12">
        <v>4527</v>
      </c>
      <c r="K18" s="12">
        <v>5519</v>
      </c>
      <c r="L18" s="12">
        <v>6904</v>
      </c>
      <c r="M18" s="12">
        <v>8595</v>
      </c>
    </row>
    <row r="19" spans="1:13" x14ac:dyDescent="0.3">
      <c r="A19" t="s">
        <v>53</v>
      </c>
      <c r="B19" s="12">
        <v>717</v>
      </c>
      <c r="C19" s="12">
        <v>946</v>
      </c>
      <c r="D19" s="12">
        <v>1162</v>
      </c>
      <c r="E19" s="12">
        <v>1379</v>
      </c>
      <c r="F19" s="12">
        <v>1757</v>
      </c>
      <c r="G19" s="12">
        <v>2173</v>
      </c>
      <c r="H19" s="12">
        <v>3139</v>
      </c>
      <c r="I19" s="12">
        <v>3649</v>
      </c>
      <c r="J19" s="12">
        <v>4938</v>
      </c>
      <c r="K19" s="12">
        <v>6201</v>
      </c>
      <c r="L19" s="12">
        <v>7062</v>
      </c>
      <c r="M19" s="12">
        <v>8256</v>
      </c>
    </row>
    <row r="20" spans="1:13" x14ac:dyDescent="0.3">
      <c r="A20" t="s">
        <v>54</v>
      </c>
      <c r="B20" s="12">
        <v>39</v>
      </c>
      <c r="C20" s="12">
        <v>51</v>
      </c>
      <c r="D20" s="12">
        <v>59</v>
      </c>
      <c r="E20" s="12">
        <v>88</v>
      </c>
      <c r="F20" s="12">
        <v>124</v>
      </c>
      <c r="G20" s="12">
        <v>191</v>
      </c>
      <c r="H20" s="12">
        <v>272</v>
      </c>
      <c r="I20" s="12">
        <v>352</v>
      </c>
      <c r="J20" s="12">
        <v>491</v>
      </c>
      <c r="K20" s="12">
        <v>656</v>
      </c>
      <c r="L20" s="12">
        <v>870</v>
      </c>
      <c r="M20" s="12">
        <v>1141</v>
      </c>
    </row>
    <row r="21" spans="1:13" x14ac:dyDescent="0.3">
      <c r="A21" t="s">
        <v>55</v>
      </c>
      <c r="B21" s="12">
        <v>9</v>
      </c>
      <c r="C21" s="12">
        <v>12</v>
      </c>
      <c r="D21" s="12">
        <v>11</v>
      </c>
      <c r="E21" s="12">
        <v>16</v>
      </c>
      <c r="F21" s="12">
        <v>21</v>
      </c>
      <c r="G21" s="12">
        <v>29</v>
      </c>
      <c r="H21" s="12">
        <v>39</v>
      </c>
      <c r="I21" s="12">
        <v>50</v>
      </c>
      <c r="J21" s="12">
        <v>73</v>
      </c>
      <c r="K21" s="12">
        <v>85</v>
      </c>
      <c r="L21" s="12">
        <v>97</v>
      </c>
      <c r="M21" s="12">
        <v>115</v>
      </c>
    </row>
    <row r="22" spans="1:13" x14ac:dyDescent="0.3">
      <c r="A22" t="s">
        <v>56</v>
      </c>
      <c r="B22" s="12">
        <v>23</v>
      </c>
      <c r="C22" s="12">
        <v>30</v>
      </c>
      <c r="D22" s="12">
        <v>21</v>
      </c>
      <c r="E22" s="12">
        <v>30</v>
      </c>
      <c r="F22" s="12">
        <v>53</v>
      </c>
      <c r="G22" s="12">
        <v>76</v>
      </c>
      <c r="H22" s="12">
        <v>95</v>
      </c>
      <c r="I22" s="12">
        <v>119</v>
      </c>
      <c r="J22" s="12">
        <v>153</v>
      </c>
      <c r="K22" s="12">
        <v>190</v>
      </c>
      <c r="L22" s="12">
        <v>219</v>
      </c>
      <c r="M22" s="12">
        <v>276</v>
      </c>
    </row>
    <row r="23" spans="1:13" x14ac:dyDescent="0.3">
      <c r="A23" t="s">
        <v>57</v>
      </c>
      <c r="B23" s="12">
        <v>135</v>
      </c>
      <c r="C23" s="12">
        <v>172</v>
      </c>
      <c r="D23" s="12">
        <v>143</v>
      </c>
      <c r="E23" s="12">
        <v>202</v>
      </c>
      <c r="F23" s="12">
        <v>265</v>
      </c>
      <c r="G23" s="12">
        <v>357</v>
      </c>
      <c r="H23" s="12">
        <v>476</v>
      </c>
      <c r="I23" s="12">
        <v>581</v>
      </c>
      <c r="J23" s="12">
        <v>772</v>
      </c>
      <c r="K23" s="12">
        <v>968</v>
      </c>
      <c r="L23" s="12">
        <v>1205</v>
      </c>
      <c r="M23" s="12">
        <v>1515</v>
      </c>
    </row>
    <row r="24" spans="1:13" x14ac:dyDescent="0.3">
      <c r="A24" t="s">
        <v>58</v>
      </c>
      <c r="B24" s="12">
        <v>4</v>
      </c>
      <c r="C24" s="12">
        <v>6</v>
      </c>
      <c r="D24" s="12">
        <v>6</v>
      </c>
      <c r="E24" s="12">
        <v>6</v>
      </c>
      <c r="F24" s="12">
        <v>2</v>
      </c>
      <c r="G24" s="12">
        <v>3</v>
      </c>
      <c r="H24" s="12">
        <v>4</v>
      </c>
      <c r="I24" s="12">
        <v>4</v>
      </c>
      <c r="J24" s="12">
        <v>3</v>
      </c>
      <c r="K24" s="12">
        <v>15</v>
      </c>
      <c r="L24" s="12">
        <v>17</v>
      </c>
      <c r="M24" s="12">
        <v>6</v>
      </c>
    </row>
    <row r="25" spans="1:13" x14ac:dyDescent="0.3">
      <c r="A25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78</v>
      </c>
      <c r="G25" s="12">
        <v>78</v>
      </c>
      <c r="H25" s="12">
        <v>78</v>
      </c>
      <c r="I25" s="12">
        <v>78</v>
      </c>
      <c r="J25" s="12">
        <v>78</v>
      </c>
      <c r="K25" s="12">
        <v>78</v>
      </c>
      <c r="L25" s="12">
        <v>78</v>
      </c>
      <c r="M25" s="12">
        <v>78</v>
      </c>
    </row>
    <row r="26" spans="1:13" x14ac:dyDescent="0.3">
      <c r="A26" t="s">
        <v>60</v>
      </c>
      <c r="B26" s="12">
        <v>10</v>
      </c>
      <c r="C26" s="12">
        <v>12</v>
      </c>
      <c r="D26" s="12">
        <v>6</v>
      </c>
      <c r="E26" s="12">
        <v>39</v>
      </c>
      <c r="F26" s="12">
        <v>61</v>
      </c>
      <c r="G26" s="12">
        <v>74</v>
      </c>
      <c r="H26" s="12">
        <v>82</v>
      </c>
      <c r="I26" s="12">
        <v>81</v>
      </c>
      <c r="J26" s="12">
        <v>91</v>
      </c>
      <c r="K26" s="12">
        <v>105</v>
      </c>
      <c r="L26" s="12">
        <v>119</v>
      </c>
      <c r="M26" s="12">
        <v>124</v>
      </c>
    </row>
    <row r="27" spans="1:13" x14ac:dyDescent="0.3">
      <c r="A27" s="11" t="s">
        <v>61</v>
      </c>
      <c r="B27" s="17">
        <v>1397</v>
      </c>
      <c r="C27" s="17">
        <v>1832</v>
      </c>
      <c r="D27" s="17">
        <v>2192</v>
      </c>
      <c r="E27" s="17">
        <v>2805</v>
      </c>
      <c r="F27" s="17">
        <v>3801</v>
      </c>
      <c r="G27" s="17">
        <v>5010</v>
      </c>
      <c r="H27" s="17">
        <v>6927</v>
      </c>
      <c r="I27" s="17">
        <v>8396</v>
      </c>
      <c r="J27" s="17">
        <v>11127</v>
      </c>
      <c r="K27" s="17">
        <v>13816</v>
      </c>
      <c r="L27" s="17">
        <v>16571</v>
      </c>
      <c r="M27" s="17">
        <v>20106</v>
      </c>
    </row>
    <row r="28" spans="1:13" x14ac:dyDescent="0.3">
      <c r="A28" s="11" t="s">
        <v>62</v>
      </c>
      <c r="B28" s="12">
        <v>225</v>
      </c>
      <c r="C28" s="12">
        <v>304</v>
      </c>
      <c r="D28" s="12">
        <v>98</v>
      </c>
      <c r="E28" s="12">
        <v>228</v>
      </c>
      <c r="F28" s="12">
        <v>401</v>
      </c>
      <c r="G28" s="12">
        <v>609</v>
      </c>
      <c r="H28" s="12">
        <v>979</v>
      </c>
      <c r="I28" s="12">
        <v>1387</v>
      </c>
      <c r="J28" s="12">
        <v>1867</v>
      </c>
      <c r="K28" s="12">
        <v>2476</v>
      </c>
      <c r="L28" s="12">
        <v>3156</v>
      </c>
      <c r="M28" s="12">
        <v>3900</v>
      </c>
    </row>
    <row r="29" spans="1:13" x14ac:dyDescent="0.3">
      <c r="A29" s="11" t="s">
        <v>34</v>
      </c>
      <c r="B29" s="18">
        <f>B27-B28</f>
        <v>1172</v>
      </c>
      <c r="C29" s="18">
        <f t="shared" ref="C29:L29" si="0">C27-C28</f>
        <v>1528</v>
      </c>
      <c r="D29" s="18">
        <f t="shared" si="0"/>
        <v>2094</v>
      </c>
      <c r="E29" s="18">
        <f t="shared" si="0"/>
        <v>2577</v>
      </c>
      <c r="F29" s="18">
        <f t="shared" si="0"/>
        <v>3400</v>
      </c>
      <c r="G29" s="18">
        <f t="shared" si="0"/>
        <v>4401</v>
      </c>
      <c r="H29" s="18">
        <f t="shared" si="0"/>
        <v>5948</v>
      </c>
      <c r="I29" s="18">
        <f t="shared" si="0"/>
        <v>7009</v>
      </c>
      <c r="J29" s="18">
        <f t="shared" si="0"/>
        <v>9260</v>
      </c>
      <c r="K29" s="18">
        <f t="shared" si="0"/>
        <v>11340</v>
      </c>
      <c r="L29" s="18">
        <f t="shared" si="0"/>
        <v>13415</v>
      </c>
      <c r="M29" s="18">
        <f>M27-M28</f>
        <v>16206</v>
      </c>
    </row>
    <row r="30" spans="1:13" x14ac:dyDescent="0.3">
      <c r="A30" s="11"/>
      <c r="I30" s="19"/>
      <c r="J30" s="19"/>
      <c r="K30" s="19"/>
      <c r="L30" s="19"/>
      <c r="M30" s="19"/>
    </row>
    <row r="31" spans="1:13" x14ac:dyDescent="0.3">
      <c r="A31" s="11" t="s">
        <v>63</v>
      </c>
      <c r="B31" s="12">
        <v>89</v>
      </c>
      <c r="C31" s="12">
        <v>98</v>
      </c>
      <c r="D31" s="12">
        <v>82</v>
      </c>
      <c r="E31" s="12">
        <v>153</v>
      </c>
      <c r="F31" s="12">
        <v>147</v>
      </c>
      <c r="G31" s="12">
        <v>377</v>
      </c>
      <c r="H31" s="12">
        <v>364</v>
      </c>
      <c r="I31" s="12">
        <v>1020</v>
      </c>
      <c r="J31" s="12">
        <v>1129</v>
      </c>
      <c r="K31" s="12">
        <v>829</v>
      </c>
      <c r="L31" s="12">
        <v>935</v>
      </c>
      <c r="M31" s="12">
        <v>1099</v>
      </c>
    </row>
    <row r="32" spans="1:13" x14ac:dyDescent="0.3">
      <c r="A32" s="11" t="s">
        <v>35</v>
      </c>
      <c r="B32" s="12">
        <v>16</v>
      </c>
      <c r="C32" s="12">
        <v>15</v>
      </c>
      <c r="D32" s="12">
        <v>29</v>
      </c>
      <c r="E32" s="12">
        <v>26</v>
      </c>
      <c r="F32" s="12">
        <v>68</v>
      </c>
      <c r="G32" s="12">
        <v>17</v>
      </c>
      <c r="H32" s="12">
        <v>15</v>
      </c>
      <c r="I32" s="12">
        <v>3</v>
      </c>
      <c r="J32" s="12">
        <v>6</v>
      </c>
      <c r="K32" s="12">
        <v>202</v>
      </c>
      <c r="L32" s="12">
        <v>107</v>
      </c>
      <c r="M32" s="12">
        <v>3</v>
      </c>
    </row>
    <row r="34" spans="1:16" x14ac:dyDescent="0.3">
      <c r="A34" s="11" t="s">
        <v>64</v>
      </c>
      <c r="E34" s="19"/>
      <c r="F34" s="19"/>
      <c r="G34" s="19"/>
      <c r="H34" s="19"/>
      <c r="I34" s="19"/>
      <c r="J34" s="19"/>
      <c r="K34" s="19"/>
      <c r="L34" s="19"/>
      <c r="M34" s="19"/>
    </row>
    <row r="35" spans="1:16" x14ac:dyDescent="0.3">
      <c r="A35" t="s">
        <v>65</v>
      </c>
      <c r="B35" s="12">
        <v>378</v>
      </c>
      <c r="C35" s="12">
        <v>540</v>
      </c>
      <c r="D35" s="12">
        <v>672</v>
      </c>
      <c r="E35" s="12">
        <v>948</v>
      </c>
      <c r="F35" s="12">
        <v>1163</v>
      </c>
      <c r="G35" s="12">
        <v>1609</v>
      </c>
      <c r="H35" s="12">
        <v>1947</v>
      </c>
      <c r="I35" s="12">
        <v>2248</v>
      </c>
      <c r="J35" s="12">
        <v>2743</v>
      </c>
      <c r="K35" s="12">
        <v>3243</v>
      </c>
      <c r="L35" s="12">
        <v>3927</v>
      </c>
      <c r="M35" s="12">
        <v>5044</v>
      </c>
      <c r="N35" s="54"/>
      <c r="O35" s="54"/>
      <c r="P35" s="54"/>
    </row>
    <row r="36" spans="1:16" x14ac:dyDescent="0.3">
      <c r="A36" t="s">
        <v>66</v>
      </c>
      <c r="B36" s="12">
        <v>10</v>
      </c>
      <c r="C36" s="12">
        <v>7</v>
      </c>
      <c r="D36" s="12">
        <v>8</v>
      </c>
      <c r="E36" s="12">
        <v>21</v>
      </c>
      <c r="F36" s="12">
        <v>34</v>
      </c>
      <c r="G36" s="12">
        <v>64</v>
      </c>
      <c r="H36" s="12">
        <v>20</v>
      </c>
      <c r="I36" s="12">
        <v>44</v>
      </c>
      <c r="J36" s="12">
        <v>67</v>
      </c>
      <c r="K36" s="12">
        <v>62</v>
      </c>
      <c r="L36" s="12">
        <v>166</v>
      </c>
      <c r="M36" s="12">
        <v>154</v>
      </c>
    </row>
    <row r="37" spans="1:16" x14ac:dyDescent="0.3">
      <c r="A37" t="s">
        <v>67</v>
      </c>
      <c r="B37" s="12">
        <v>55</v>
      </c>
      <c r="C37" s="12">
        <v>38</v>
      </c>
      <c r="D37" s="12">
        <v>35</v>
      </c>
      <c r="E37" s="12">
        <v>1884</v>
      </c>
      <c r="F37" s="12">
        <v>560</v>
      </c>
      <c r="G37" s="12">
        <v>219</v>
      </c>
      <c r="H37" s="12">
        <v>108</v>
      </c>
      <c r="I37" s="12">
        <v>1446</v>
      </c>
      <c r="J37" s="12">
        <v>299</v>
      </c>
      <c r="K37" s="12">
        <v>1408</v>
      </c>
      <c r="L37" s="12">
        <v>638</v>
      </c>
      <c r="M37" s="12">
        <v>358</v>
      </c>
    </row>
    <row r="38" spans="1:16" x14ac:dyDescent="0.3">
      <c r="A38" t="s">
        <v>68</v>
      </c>
      <c r="B38" s="12">
        <v>14</v>
      </c>
      <c r="C38" s="12">
        <v>21</v>
      </c>
      <c r="D38" s="12">
        <v>32</v>
      </c>
      <c r="E38" s="12">
        <v>45</v>
      </c>
      <c r="F38" s="12">
        <v>51</v>
      </c>
      <c r="G38" s="12">
        <v>98</v>
      </c>
      <c r="H38" s="12">
        <v>101</v>
      </c>
      <c r="I38" s="12">
        <v>81</v>
      </c>
      <c r="J38" s="12">
        <v>109</v>
      </c>
      <c r="K38" s="12">
        <v>97</v>
      </c>
      <c r="L38" s="12">
        <v>105</v>
      </c>
      <c r="M38" s="12">
        <v>126</v>
      </c>
    </row>
    <row r="39" spans="1:16" x14ac:dyDescent="0.3">
      <c r="A39" t="s">
        <v>69</v>
      </c>
      <c r="B39">
        <v>74</v>
      </c>
      <c r="C39">
        <v>108</v>
      </c>
      <c r="D39">
        <v>150</v>
      </c>
      <c r="E39">
        <v>165</v>
      </c>
      <c r="F39">
        <v>225</v>
      </c>
      <c r="G39">
        <v>221</v>
      </c>
      <c r="H39" s="19">
        <v>3574</v>
      </c>
      <c r="I39" s="19">
        <v>1806</v>
      </c>
      <c r="J39" s="19">
        <v>1859</v>
      </c>
      <c r="K39">
        <v>922</v>
      </c>
      <c r="L39" s="19">
        <v>1879</v>
      </c>
      <c r="M39" s="19">
        <v>1321</v>
      </c>
    </row>
    <row r="40" spans="1:16" x14ac:dyDescent="0.3">
      <c r="A40" s="14" t="s">
        <v>70</v>
      </c>
      <c r="B40" s="20">
        <v>1808</v>
      </c>
      <c r="C40" s="20">
        <v>2355</v>
      </c>
      <c r="D40" s="20">
        <v>3102</v>
      </c>
      <c r="E40" s="20">
        <v>5819</v>
      </c>
      <c r="F40" s="20">
        <v>5648</v>
      </c>
      <c r="G40" s="20">
        <v>7006</v>
      </c>
      <c r="H40" s="20">
        <v>12076</v>
      </c>
      <c r="I40" s="20">
        <v>13655</v>
      </c>
      <c r="J40" s="20">
        <v>15471</v>
      </c>
      <c r="K40" s="20">
        <v>18105</v>
      </c>
      <c r="L40" s="20">
        <v>21172</v>
      </c>
      <c r="M40" s="20">
        <v>24313</v>
      </c>
    </row>
    <row r="42" spans="1:16" x14ac:dyDescent="0.3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16" ht="15" thickBot="1" x14ac:dyDescent="0.35"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1:16" x14ac:dyDescent="0.3">
      <c r="A44" s="28"/>
      <c r="B44" s="29"/>
      <c r="C44" s="29"/>
      <c r="D44" s="29"/>
      <c r="E44" s="30"/>
      <c r="F44" s="29"/>
      <c r="G44" s="29"/>
      <c r="H44" s="30"/>
      <c r="I44" s="30"/>
      <c r="J44" s="30"/>
      <c r="K44" s="30"/>
      <c r="L44" s="30"/>
      <c r="M44" s="30"/>
    </row>
    <row r="46" spans="1:16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6" x14ac:dyDescent="0.3"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9" spans="4:13" x14ac:dyDescent="0.3">
      <c r="D49" s="56"/>
      <c r="E49" s="56"/>
      <c r="F49" s="56"/>
      <c r="G49" s="56"/>
      <c r="H49" s="56"/>
      <c r="I49" s="56"/>
      <c r="J49" s="56"/>
      <c r="K49" s="56"/>
      <c r="L49" s="56"/>
      <c r="M49" s="56"/>
    </row>
    <row r="50" spans="4:13" x14ac:dyDescent="0.3">
      <c r="D50" s="56"/>
      <c r="E50" s="56"/>
      <c r="F50" s="56"/>
      <c r="G50" s="56"/>
      <c r="H50" s="56"/>
      <c r="I50" s="56"/>
      <c r="J50" s="56"/>
      <c r="K50" s="56"/>
      <c r="L50" s="56"/>
      <c r="M50" s="56"/>
    </row>
    <row r="51" spans="4:13" x14ac:dyDescent="0.3"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4" spans="4:13" x14ac:dyDescent="0.3">
      <c r="D54" s="55"/>
      <c r="E54" s="55"/>
      <c r="F54" s="55"/>
      <c r="G54" s="55"/>
      <c r="H54" s="55"/>
      <c r="I54" s="55"/>
      <c r="J54" s="55"/>
      <c r="K54" s="55"/>
      <c r="L54" s="55"/>
      <c r="M54" s="55"/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CD04-4B77-43DC-B8B5-EE2867BD4844}">
  <dimension ref="A1:M36"/>
  <sheetViews>
    <sheetView zoomScale="70" zoomScaleNormal="70" workbookViewId="0">
      <pane ySplit="2" topLeftCell="A3" activePane="bottomLeft" state="frozen"/>
      <selection pane="bottomLeft" activeCell="N23" sqref="N23"/>
    </sheetView>
  </sheetViews>
  <sheetFormatPr defaultRowHeight="14.4" x14ac:dyDescent="0.3"/>
  <cols>
    <col min="1" max="1" width="32.6640625" bestFit="1" customWidth="1"/>
    <col min="2" max="5" width="9.44140625" bestFit="1" customWidth="1"/>
    <col min="6" max="6" width="8" customWidth="1"/>
    <col min="7" max="13" width="9.44140625" bestFit="1" customWidth="1"/>
    <col min="14" max="14" width="12.33203125" customWidth="1"/>
  </cols>
  <sheetData>
    <row r="1" spans="1:13" ht="21" x14ac:dyDescent="0.4">
      <c r="A1" s="242" t="s">
        <v>71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</row>
    <row r="2" spans="1:13" s="39" customFormat="1" ht="18.600000000000001" thickBot="1" x14ac:dyDescent="0.4">
      <c r="A2" s="40"/>
      <c r="B2" s="10">
        <v>41699</v>
      </c>
      <c r="C2" s="10">
        <v>42064</v>
      </c>
      <c r="D2" s="10">
        <v>42430</v>
      </c>
      <c r="E2" s="10">
        <v>42795</v>
      </c>
      <c r="F2" s="10">
        <v>43160</v>
      </c>
      <c r="G2" s="10">
        <v>43525</v>
      </c>
      <c r="H2" s="10">
        <v>43891</v>
      </c>
      <c r="I2" s="10">
        <v>44256</v>
      </c>
      <c r="J2" s="10">
        <v>44621</v>
      </c>
      <c r="K2" s="10">
        <v>44986</v>
      </c>
      <c r="L2" s="10">
        <v>45352</v>
      </c>
      <c r="M2" s="10">
        <v>45717</v>
      </c>
    </row>
    <row r="3" spans="1:13" ht="15" thickBot="1" x14ac:dyDescent="0.35">
      <c r="A3" s="21" t="s">
        <v>99</v>
      </c>
      <c r="B3" s="22">
        <v>198</v>
      </c>
      <c r="C3" s="22">
        <v>222</v>
      </c>
      <c r="D3" s="22">
        <v>433</v>
      </c>
      <c r="E3" s="22">
        <v>455</v>
      </c>
      <c r="F3" s="22">
        <v>730</v>
      </c>
      <c r="G3" s="22">
        <v>807</v>
      </c>
      <c r="H3" s="23">
        <v>1280</v>
      </c>
      <c r="I3" s="23">
        <v>1375</v>
      </c>
      <c r="J3" s="23">
        <v>1372</v>
      </c>
      <c r="K3" s="23">
        <v>2630</v>
      </c>
      <c r="L3" s="23">
        <v>2746</v>
      </c>
      <c r="M3" s="23">
        <v>2463</v>
      </c>
    </row>
    <row r="4" spans="1:13" x14ac:dyDescent="0.3">
      <c r="A4" s="24" t="s">
        <v>72</v>
      </c>
      <c r="B4" s="22">
        <v>356</v>
      </c>
      <c r="C4" s="22">
        <v>474</v>
      </c>
      <c r="D4" s="22">
        <v>666</v>
      </c>
      <c r="E4" s="22">
        <v>984</v>
      </c>
      <c r="F4" s="23">
        <v>1375</v>
      </c>
      <c r="G4" s="23">
        <v>1659</v>
      </c>
      <c r="H4" s="23">
        <v>2149</v>
      </c>
      <c r="I4" s="23">
        <v>1764</v>
      </c>
      <c r="J4" s="23">
        <v>2515</v>
      </c>
      <c r="K4" s="23">
        <v>3659</v>
      </c>
      <c r="L4" s="23">
        <v>4131</v>
      </c>
      <c r="M4" s="23">
        <v>4535</v>
      </c>
    </row>
    <row r="5" spans="1:13" x14ac:dyDescent="0.3">
      <c r="A5" s="25" t="s">
        <v>36</v>
      </c>
      <c r="B5" s="26">
        <v>4</v>
      </c>
      <c r="C5" s="26">
        <v>2</v>
      </c>
      <c r="D5" s="26">
        <v>-1</v>
      </c>
      <c r="E5" s="26">
        <v>54</v>
      </c>
      <c r="F5" s="26">
        <v>-13</v>
      </c>
      <c r="G5" s="26">
        <v>-31</v>
      </c>
      <c r="H5" s="26">
        <v>45</v>
      </c>
      <c r="I5" s="26">
        <v>-24</v>
      </c>
      <c r="J5" s="26">
        <v>-23</v>
      </c>
      <c r="K5" s="26">
        <v>5</v>
      </c>
      <c r="L5" s="26">
        <v>-104</v>
      </c>
      <c r="M5" s="26">
        <v>13</v>
      </c>
    </row>
    <row r="6" spans="1:13" x14ac:dyDescent="0.3">
      <c r="A6" s="25" t="s">
        <v>37</v>
      </c>
      <c r="B6" s="26">
        <v>-102</v>
      </c>
      <c r="C6" s="26">
        <v>-161</v>
      </c>
      <c r="D6" s="26">
        <v>-132</v>
      </c>
      <c r="E6" s="26">
        <v>-276</v>
      </c>
      <c r="F6" s="26">
        <v>-212</v>
      </c>
      <c r="G6" s="26">
        <v>-445</v>
      </c>
      <c r="H6" s="26">
        <v>-339</v>
      </c>
      <c r="I6" s="26">
        <v>-301</v>
      </c>
      <c r="J6" s="26">
        <v>-494</v>
      </c>
      <c r="K6" s="26">
        <v>-501</v>
      </c>
      <c r="L6" s="26">
        <v>-684</v>
      </c>
      <c r="M6" s="27">
        <v>-1117</v>
      </c>
    </row>
    <row r="7" spans="1:13" x14ac:dyDescent="0.3">
      <c r="A7" s="25" t="s">
        <v>73</v>
      </c>
      <c r="B7" s="26">
        <v>28</v>
      </c>
      <c r="C7" s="26">
        <v>-4</v>
      </c>
      <c r="D7" s="26">
        <v>72</v>
      </c>
      <c r="E7" s="26">
        <v>0</v>
      </c>
      <c r="F7" s="26">
        <v>55</v>
      </c>
      <c r="G7" s="26">
        <v>146</v>
      </c>
      <c r="H7" s="26">
        <v>-30</v>
      </c>
      <c r="I7" s="26">
        <v>145</v>
      </c>
      <c r="J7" s="26">
        <v>11</v>
      </c>
      <c r="K7" s="26">
        <v>165</v>
      </c>
      <c r="L7" s="26">
        <v>231</v>
      </c>
      <c r="M7" s="26">
        <v>86</v>
      </c>
    </row>
    <row r="8" spans="1:13" x14ac:dyDescent="0.3">
      <c r="A8" s="25" t="s">
        <v>74</v>
      </c>
      <c r="B8" s="26">
        <v>-18</v>
      </c>
      <c r="C8" s="26">
        <v>-5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</row>
    <row r="9" spans="1:13" x14ac:dyDescent="0.3">
      <c r="A9" s="25" t="s">
        <v>75</v>
      </c>
      <c r="B9" s="26">
        <v>0</v>
      </c>
      <c r="C9" s="26">
        <v>0</v>
      </c>
      <c r="D9" s="26">
        <v>0</v>
      </c>
      <c r="E9" s="26">
        <v>-2</v>
      </c>
      <c r="F9" s="26">
        <v>-62</v>
      </c>
      <c r="G9" s="26">
        <v>52</v>
      </c>
      <c r="H9" s="26">
        <v>2</v>
      </c>
      <c r="I9" s="26">
        <v>12</v>
      </c>
      <c r="J9" s="26">
        <v>-3</v>
      </c>
      <c r="K9" s="26">
        <v>0</v>
      </c>
      <c r="L9" s="26">
        <v>0</v>
      </c>
      <c r="M9" s="26">
        <v>0</v>
      </c>
    </row>
    <row r="10" spans="1:13" ht="15" thickBot="1" x14ac:dyDescent="0.35">
      <c r="A10" s="25" t="s">
        <v>76</v>
      </c>
      <c r="B10" s="26">
        <v>6</v>
      </c>
      <c r="C10" s="26">
        <v>16</v>
      </c>
      <c r="D10" s="26">
        <v>-7</v>
      </c>
      <c r="E10" s="26">
        <v>-46</v>
      </c>
      <c r="F10" s="26">
        <v>-11</v>
      </c>
      <c r="G10" s="26">
        <v>-72</v>
      </c>
      <c r="H10" s="26">
        <v>-54</v>
      </c>
      <c r="I10" s="26">
        <v>41</v>
      </c>
      <c r="J10" s="26">
        <v>-73</v>
      </c>
      <c r="K10" s="26">
        <v>12</v>
      </c>
      <c r="L10" s="26">
        <v>-87</v>
      </c>
      <c r="M10" s="26">
        <v>-94</v>
      </c>
    </row>
    <row r="11" spans="1:13" x14ac:dyDescent="0.3">
      <c r="A11" s="53" t="s">
        <v>77</v>
      </c>
      <c r="B11" s="22">
        <v>-83</v>
      </c>
      <c r="C11" s="22">
        <v>-152</v>
      </c>
      <c r="D11" s="22">
        <v>-69</v>
      </c>
      <c r="E11" s="22">
        <v>-270</v>
      </c>
      <c r="F11" s="22">
        <v>-243</v>
      </c>
      <c r="G11" s="22">
        <v>-351</v>
      </c>
      <c r="H11" s="22">
        <v>-376</v>
      </c>
      <c r="I11" s="22">
        <v>-127</v>
      </c>
      <c r="J11" s="22">
        <v>-582</v>
      </c>
      <c r="K11" s="22">
        <v>-320</v>
      </c>
      <c r="L11" s="22">
        <v>-644</v>
      </c>
      <c r="M11" s="23">
        <v>-1113</v>
      </c>
    </row>
    <row r="12" spans="1:13" ht="15" thickBot="1" x14ac:dyDescent="0.35">
      <c r="A12" s="25" t="s">
        <v>78</v>
      </c>
      <c r="B12" s="26">
        <v>-75</v>
      </c>
      <c r="C12" s="26">
        <v>-100</v>
      </c>
      <c r="D12" s="26">
        <v>-164</v>
      </c>
      <c r="E12" s="26">
        <v>-258</v>
      </c>
      <c r="F12" s="26">
        <v>-403</v>
      </c>
      <c r="G12" s="26">
        <v>-502</v>
      </c>
      <c r="H12" s="26">
        <v>-492</v>
      </c>
      <c r="I12" s="26">
        <v>-262</v>
      </c>
      <c r="J12" s="26">
        <v>-560</v>
      </c>
      <c r="K12" s="26">
        <v>-709</v>
      </c>
      <c r="L12" s="26">
        <v>-742</v>
      </c>
      <c r="M12" s="26">
        <v>-959</v>
      </c>
    </row>
    <row r="13" spans="1:13" x14ac:dyDescent="0.3">
      <c r="A13" s="28" t="s">
        <v>100</v>
      </c>
      <c r="B13" s="29">
        <v>-270</v>
      </c>
      <c r="C13" s="29">
        <v>-474</v>
      </c>
      <c r="D13" s="29">
        <v>-633</v>
      </c>
      <c r="E13" s="30">
        <v>-2482</v>
      </c>
      <c r="F13" s="29">
        <v>464</v>
      </c>
      <c r="G13" s="29">
        <v>-958</v>
      </c>
      <c r="H13" s="30">
        <v>-4657</v>
      </c>
      <c r="I13" s="30">
        <v>-1110</v>
      </c>
      <c r="J13" s="30">
        <v>-1289</v>
      </c>
      <c r="K13" s="30">
        <v>-2313</v>
      </c>
      <c r="L13" s="30">
        <v>-2468</v>
      </c>
      <c r="M13" s="30">
        <v>-2185</v>
      </c>
    </row>
    <row r="14" spans="1:13" x14ac:dyDescent="0.3">
      <c r="A14" s="31" t="s">
        <v>79</v>
      </c>
      <c r="B14" s="32">
        <v>-272</v>
      </c>
      <c r="C14" s="32">
        <v>-477</v>
      </c>
      <c r="D14" s="32">
        <v>0</v>
      </c>
      <c r="E14" s="32">
        <v>-645</v>
      </c>
      <c r="F14" s="32">
        <v>-916</v>
      </c>
      <c r="G14" s="33">
        <v>-1417</v>
      </c>
      <c r="H14" s="33">
        <v>-1712</v>
      </c>
      <c r="I14" s="33">
        <v>-2029</v>
      </c>
      <c r="J14" s="33">
        <v>-2410</v>
      </c>
      <c r="K14" s="33">
        <v>-2212</v>
      </c>
      <c r="L14" s="33">
        <v>-2731</v>
      </c>
      <c r="M14" s="33">
        <v>-3423</v>
      </c>
    </row>
    <row r="15" spans="1:13" x14ac:dyDescent="0.3">
      <c r="A15" s="31" t="s">
        <v>80</v>
      </c>
      <c r="B15" s="32">
        <v>1</v>
      </c>
      <c r="C15" s="32">
        <v>0</v>
      </c>
      <c r="D15" s="32">
        <v>2</v>
      </c>
      <c r="E15" s="32">
        <v>10</v>
      </c>
      <c r="F15" s="32">
        <v>7</v>
      </c>
      <c r="G15" s="32">
        <v>8</v>
      </c>
      <c r="H15" s="32">
        <v>6</v>
      </c>
      <c r="I15" s="32">
        <v>2</v>
      </c>
      <c r="J15" s="32">
        <v>21</v>
      </c>
      <c r="K15" s="32">
        <v>5</v>
      </c>
      <c r="L15" s="32">
        <v>9</v>
      </c>
      <c r="M15" s="32">
        <v>6</v>
      </c>
    </row>
    <row r="16" spans="1:13" x14ac:dyDescent="0.3">
      <c r="A16" s="31" t="s">
        <v>81</v>
      </c>
      <c r="B16" s="32">
        <v>-644</v>
      </c>
      <c r="C16" s="33">
        <v>-2901</v>
      </c>
      <c r="D16" s="32">
        <v>-638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-193</v>
      </c>
      <c r="L16" s="33">
        <v>-4201</v>
      </c>
      <c r="M16" s="33">
        <v>-4948</v>
      </c>
    </row>
    <row r="17" spans="1:13" x14ac:dyDescent="0.3">
      <c r="A17" s="31" t="s">
        <v>82</v>
      </c>
      <c r="B17" s="32">
        <v>645</v>
      </c>
      <c r="C17" s="33">
        <v>2904</v>
      </c>
      <c r="D17" s="32">
        <v>0</v>
      </c>
      <c r="E17" s="32">
        <v>0</v>
      </c>
      <c r="F17" s="33">
        <v>1376</v>
      </c>
      <c r="G17" s="32">
        <v>410</v>
      </c>
      <c r="H17" s="32">
        <v>232</v>
      </c>
      <c r="I17" s="32">
        <v>3</v>
      </c>
      <c r="J17" s="32">
        <v>4</v>
      </c>
      <c r="K17" s="32">
        <v>6</v>
      </c>
      <c r="L17" s="33">
        <v>4324</v>
      </c>
      <c r="M17" s="33">
        <v>5074</v>
      </c>
    </row>
    <row r="18" spans="1:13" x14ac:dyDescent="0.3">
      <c r="A18" s="31" t="s">
        <v>83</v>
      </c>
      <c r="B18" s="32">
        <v>0</v>
      </c>
      <c r="C18" s="32">
        <v>0</v>
      </c>
      <c r="D18" s="32">
        <v>3</v>
      </c>
      <c r="E18" s="32">
        <v>8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</row>
    <row r="19" spans="1:13" x14ac:dyDescent="0.3">
      <c r="A19" s="31" t="s">
        <v>84</v>
      </c>
      <c r="B19" s="32">
        <v>0</v>
      </c>
      <c r="C19" s="32">
        <v>0</v>
      </c>
      <c r="D19" s="32">
        <v>1</v>
      </c>
      <c r="E19" s="32">
        <v>1</v>
      </c>
      <c r="F19" s="32">
        <v>31</v>
      </c>
      <c r="G19" s="32">
        <v>36</v>
      </c>
      <c r="H19" s="32">
        <v>12</v>
      </c>
      <c r="I19" s="32">
        <v>129</v>
      </c>
      <c r="J19" s="32">
        <v>43</v>
      </c>
      <c r="K19" s="32">
        <v>39</v>
      </c>
      <c r="L19" s="32">
        <v>262</v>
      </c>
      <c r="M19" s="32">
        <v>103</v>
      </c>
    </row>
    <row r="20" spans="1:13" x14ac:dyDescent="0.3">
      <c r="A20" s="31" t="s">
        <v>85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</row>
    <row r="21" spans="1:13" x14ac:dyDescent="0.3">
      <c r="A21" s="31" t="s">
        <v>86</v>
      </c>
      <c r="B21" s="32">
        <v>0</v>
      </c>
      <c r="C21" s="32">
        <v>0</v>
      </c>
      <c r="D21" s="32">
        <v>-14</v>
      </c>
      <c r="E21" s="32">
        <v>-21</v>
      </c>
      <c r="F21" s="32">
        <v>-49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</row>
    <row r="22" spans="1:13" x14ac:dyDescent="0.3">
      <c r="A22" s="31" t="s">
        <v>87</v>
      </c>
      <c r="B22" s="32">
        <v>0</v>
      </c>
      <c r="C22" s="32">
        <v>0</v>
      </c>
      <c r="D22" s="32">
        <v>0</v>
      </c>
      <c r="E22" s="32">
        <v>0</v>
      </c>
      <c r="F22" s="32">
        <v>8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</row>
    <row r="23" spans="1:13" ht="15" thickBot="1" x14ac:dyDescent="0.35">
      <c r="A23" s="31" t="s">
        <v>88</v>
      </c>
      <c r="B23" s="32">
        <v>0</v>
      </c>
      <c r="C23" s="32">
        <v>0</v>
      </c>
      <c r="D23" s="32">
        <v>14</v>
      </c>
      <c r="E23" s="33">
        <v>-1835</v>
      </c>
      <c r="F23" s="32">
        <v>7</v>
      </c>
      <c r="G23" s="32">
        <v>3</v>
      </c>
      <c r="H23" s="33">
        <v>-3194</v>
      </c>
      <c r="I23" s="32">
        <v>786</v>
      </c>
      <c r="J23" s="33">
        <v>1054</v>
      </c>
      <c r="K23" s="32">
        <v>42</v>
      </c>
      <c r="L23" s="32">
        <v>-131</v>
      </c>
      <c r="M23" s="33">
        <v>1004</v>
      </c>
    </row>
    <row r="24" spans="1:13" x14ac:dyDescent="0.3">
      <c r="A24" s="21" t="s">
        <v>101</v>
      </c>
      <c r="B24" s="22">
        <v>65</v>
      </c>
      <c r="C24" s="22">
        <v>234</v>
      </c>
      <c r="D24" s="22">
        <v>196</v>
      </c>
      <c r="E24" s="23">
        <v>2025</v>
      </c>
      <c r="F24" s="23">
        <v>-1159</v>
      </c>
      <c r="G24" s="22">
        <v>209</v>
      </c>
      <c r="H24" s="23">
        <v>3357</v>
      </c>
      <c r="I24" s="22">
        <v>-180</v>
      </c>
      <c r="J24" s="22">
        <v>-179</v>
      </c>
      <c r="K24" s="22">
        <v>-205</v>
      </c>
      <c r="L24" s="22">
        <v>-148</v>
      </c>
      <c r="M24" s="22">
        <v>-259</v>
      </c>
    </row>
    <row r="25" spans="1:13" x14ac:dyDescent="0.3">
      <c r="A25" s="25" t="s">
        <v>89</v>
      </c>
      <c r="B25" s="26">
        <v>5</v>
      </c>
      <c r="C25" s="26">
        <v>33</v>
      </c>
      <c r="D25" s="26">
        <v>0</v>
      </c>
      <c r="E25" s="27">
        <v>1841</v>
      </c>
      <c r="F25" s="26">
        <v>0</v>
      </c>
      <c r="G25" s="26">
        <v>0</v>
      </c>
      <c r="H25" s="26">
        <v>110</v>
      </c>
      <c r="I25" s="26">
        <v>0</v>
      </c>
      <c r="J25" s="26">
        <v>0</v>
      </c>
      <c r="K25" s="26">
        <v>15</v>
      </c>
      <c r="L25" s="26">
        <v>75</v>
      </c>
      <c r="M25" s="26">
        <v>0</v>
      </c>
    </row>
    <row r="26" spans="1:13" x14ac:dyDescent="0.3">
      <c r="A26" s="25" t="s">
        <v>90</v>
      </c>
      <c r="B26" s="26">
        <v>0</v>
      </c>
      <c r="C26" s="26">
        <v>200</v>
      </c>
      <c r="D26" s="26">
        <v>350</v>
      </c>
      <c r="E26" s="26">
        <v>250</v>
      </c>
      <c r="F26" s="26">
        <v>0</v>
      </c>
      <c r="G26" s="26">
        <v>0</v>
      </c>
      <c r="H26" s="26">
        <v>300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</row>
    <row r="27" spans="1:13" x14ac:dyDescent="0.3">
      <c r="A27" s="25" t="s">
        <v>91</v>
      </c>
      <c r="B27" s="26">
        <v>0</v>
      </c>
      <c r="C27" s="26">
        <v>0</v>
      </c>
      <c r="D27" s="26">
        <v>0</v>
      </c>
      <c r="E27" s="26">
        <v>0</v>
      </c>
      <c r="F27" s="26">
        <v>-384</v>
      </c>
      <c r="G27" s="26">
        <v>-170</v>
      </c>
      <c r="H27" s="26">
        <v>-512</v>
      </c>
      <c r="I27" s="26">
        <v>-34</v>
      </c>
      <c r="J27" s="26">
        <v>0</v>
      </c>
      <c r="K27" s="26">
        <v>0</v>
      </c>
      <c r="L27" s="26">
        <v>0</v>
      </c>
      <c r="M27" s="26">
        <v>0</v>
      </c>
    </row>
    <row r="28" spans="1:13" x14ac:dyDescent="0.3">
      <c r="A28" s="25" t="s">
        <v>92</v>
      </c>
      <c r="B28" s="26">
        <v>245</v>
      </c>
      <c r="C28" s="26">
        <v>295</v>
      </c>
      <c r="D28" s="26">
        <v>-60</v>
      </c>
      <c r="E28" s="26">
        <v>260</v>
      </c>
      <c r="F28" s="26">
        <v>0</v>
      </c>
      <c r="G28" s="26">
        <v>992</v>
      </c>
      <c r="H28" s="27">
        <v>1100</v>
      </c>
      <c r="I28" s="26">
        <v>200</v>
      </c>
      <c r="J28" s="26">
        <v>248</v>
      </c>
      <c r="K28" s="26">
        <v>0</v>
      </c>
      <c r="L28" s="26">
        <v>0</v>
      </c>
      <c r="M28" s="26">
        <v>0</v>
      </c>
    </row>
    <row r="29" spans="1:13" x14ac:dyDescent="0.3">
      <c r="A29" s="25" t="s">
        <v>93</v>
      </c>
      <c r="B29" s="26">
        <v>-130</v>
      </c>
      <c r="C29" s="26">
        <v>-232</v>
      </c>
      <c r="D29" s="26">
        <v>0</v>
      </c>
      <c r="E29" s="26">
        <v>-155</v>
      </c>
      <c r="F29" s="26">
        <v>-695</v>
      </c>
      <c r="G29" s="26">
        <v>-562</v>
      </c>
      <c r="H29" s="27">
        <v>-1550</v>
      </c>
      <c r="I29" s="26">
        <v>-204</v>
      </c>
      <c r="J29" s="26">
        <v>-248</v>
      </c>
      <c r="K29" s="26">
        <v>0</v>
      </c>
      <c r="L29" s="26">
        <v>0</v>
      </c>
      <c r="M29" s="26">
        <v>0</v>
      </c>
    </row>
    <row r="30" spans="1:13" x14ac:dyDescent="0.3">
      <c r="A30" s="25" t="s">
        <v>94</v>
      </c>
      <c r="B30" s="26">
        <v>-54</v>
      </c>
      <c r="C30" s="26">
        <v>-62</v>
      </c>
      <c r="D30" s="26">
        <v>-93</v>
      </c>
      <c r="E30" s="26">
        <v>-120</v>
      </c>
      <c r="F30" s="26">
        <v>-80</v>
      </c>
      <c r="G30" s="26">
        <v>-51</v>
      </c>
      <c r="H30" s="26">
        <v>-68</v>
      </c>
      <c r="I30" s="26">
        <v>-44</v>
      </c>
      <c r="J30" s="26">
        <v>-54</v>
      </c>
      <c r="K30" s="26">
        <v>-67</v>
      </c>
      <c r="L30" s="26">
        <v>-58</v>
      </c>
      <c r="M30" s="26">
        <v>-69</v>
      </c>
    </row>
    <row r="31" spans="1:13" x14ac:dyDescent="0.3">
      <c r="A31" s="25" t="s">
        <v>95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>
        <v>-100</v>
      </c>
      <c r="I31" s="26">
        <v>-98</v>
      </c>
      <c r="J31" s="26">
        <v>-125</v>
      </c>
      <c r="K31" s="26">
        <v>-153</v>
      </c>
      <c r="L31" s="26">
        <v>-164</v>
      </c>
      <c r="M31" s="26">
        <v>-190</v>
      </c>
    </row>
    <row r="32" spans="1:13" x14ac:dyDescent="0.3">
      <c r="A32" s="25" t="s">
        <v>96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1</v>
      </c>
      <c r="L32" s="26">
        <v>0</v>
      </c>
      <c r="M32" s="26">
        <v>0</v>
      </c>
    </row>
    <row r="33" spans="1:13" ht="15" thickBot="1" x14ac:dyDescent="0.35">
      <c r="A33" s="25" t="s">
        <v>97</v>
      </c>
      <c r="B33" s="26">
        <v>0</v>
      </c>
      <c r="C33" s="26">
        <v>0</v>
      </c>
      <c r="D33" s="26">
        <v>0</v>
      </c>
      <c r="E33" s="26">
        <v>-50</v>
      </c>
      <c r="F33" s="26">
        <v>0</v>
      </c>
      <c r="G33" s="26">
        <v>0</v>
      </c>
      <c r="H33" s="27">
        <v>4077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</row>
    <row r="34" spans="1:13" x14ac:dyDescent="0.3">
      <c r="A34" s="28" t="s">
        <v>38</v>
      </c>
      <c r="B34" s="29">
        <v>-7</v>
      </c>
      <c r="C34" s="29">
        <v>-17</v>
      </c>
      <c r="D34" s="29">
        <v>-3</v>
      </c>
      <c r="E34" s="29">
        <v>-1</v>
      </c>
      <c r="F34" s="29">
        <v>34</v>
      </c>
      <c r="G34" s="29">
        <v>57</v>
      </c>
      <c r="H34" s="29">
        <v>-19</v>
      </c>
      <c r="I34" s="29">
        <v>86</v>
      </c>
      <c r="J34" s="29">
        <v>-96</v>
      </c>
      <c r="K34" s="29">
        <v>112</v>
      </c>
      <c r="L34" s="29">
        <v>130</v>
      </c>
      <c r="M34" s="29">
        <v>18</v>
      </c>
    </row>
    <row r="35" spans="1:13" x14ac:dyDescent="0.3">
      <c r="A35" s="34" t="s">
        <v>3</v>
      </c>
      <c r="B35" s="35">
        <v>-72</v>
      </c>
      <c r="C35" s="35">
        <v>-255</v>
      </c>
      <c r="D35" s="35">
        <v>435</v>
      </c>
      <c r="E35" s="35">
        <v>-180</v>
      </c>
      <c r="F35" s="35">
        <v>-179</v>
      </c>
      <c r="G35" s="35">
        <v>-602</v>
      </c>
      <c r="H35" s="35">
        <v>-426</v>
      </c>
      <c r="I35" s="35">
        <v>-652</v>
      </c>
      <c r="J35" s="36">
        <v>-1017</v>
      </c>
      <c r="K35" s="35">
        <v>424</v>
      </c>
      <c r="L35" s="35">
        <v>24</v>
      </c>
      <c r="M35" s="35">
        <v>-954</v>
      </c>
    </row>
    <row r="36" spans="1:13" x14ac:dyDescent="0.3">
      <c r="A36" s="37" t="s">
        <v>98</v>
      </c>
      <c r="B36" s="38">
        <v>0.8</v>
      </c>
      <c r="C36" s="38">
        <v>0.71</v>
      </c>
      <c r="D36" s="38">
        <v>0.9</v>
      </c>
      <c r="E36" s="38">
        <v>0.74</v>
      </c>
      <c r="F36" s="38">
        <v>0.84</v>
      </c>
      <c r="G36" s="38">
        <v>0.8</v>
      </c>
      <c r="H36" s="38">
        <v>0.83</v>
      </c>
      <c r="I36" s="38">
        <v>0.94</v>
      </c>
      <c r="J36" s="38">
        <v>0.77</v>
      </c>
      <c r="K36" s="38">
        <v>0.92</v>
      </c>
      <c r="L36" s="38">
        <v>0.85</v>
      </c>
      <c r="M36" s="38">
        <v>0.76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Summary</vt:lpstr>
      <vt:lpstr>DCF</vt:lpstr>
      <vt:lpstr>WACC</vt:lpstr>
      <vt:lpstr>Historical fin satements</vt:lpstr>
      <vt:lpstr>Data sheet</vt:lpstr>
      <vt:lpstr>Raw BS</vt:lpstr>
      <vt:lpstr>Raw cashflow</vt:lpstr>
      <vt:lpstr>Cost_of_debt</vt:lpstr>
      <vt:lpstr>Cost_of_equity</vt:lpstr>
      <vt:lpstr>Debt_weight</vt:lpstr>
      <vt:lpstr>Equity_Risk_Premium</vt:lpstr>
      <vt:lpstr>Equity_weight</vt:lpstr>
      <vt:lpstr>Levered_Beta</vt:lpstr>
      <vt:lpstr>pretax_cost_of_debt</vt:lpstr>
      <vt:lpstr>Risk_Free_Rate</vt:lpstr>
      <vt:lpstr>spread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Barik</dc:creator>
  <cp:lastModifiedBy>Jyoti Barik</cp:lastModifiedBy>
  <dcterms:created xsi:type="dcterms:W3CDTF">2026-03-16T16:59:10Z</dcterms:created>
  <dcterms:modified xsi:type="dcterms:W3CDTF">2026-04-30T07:06:06Z</dcterms:modified>
</cp:coreProperties>
</file>